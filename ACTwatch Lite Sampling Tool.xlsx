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psiorg.sharepoint.com/sites/ACTWatchLite/Shared Documents/2. Technical/0. Toolkit/ACTwatch Lite Toolkit v4/06 Sampling tool/"/>
    </mc:Choice>
  </mc:AlternateContent>
  <xr:revisionPtr revIDLastSave="1313" documentId="8_{8EFD15C0-D979-4576-9CA4-2EF5CAED1302}" xr6:coauthVersionLast="47" xr6:coauthVersionMax="47" xr10:uidLastSave="{7FC22710-4B61-4BDD-85BC-383A3ABC040B}"/>
  <bookViews>
    <workbookView xWindow="-110" yWindow="-110" windowWidth="19420" windowHeight="10300" activeTab="4" xr2:uid="{2406B62A-2CDF-3344-BAF3-338E86BD40DD}"/>
  </bookViews>
  <sheets>
    <sheet name="README" sheetId="10" r:id="rId1"/>
    <sheet name="1. INPUTS" sheetId="8" r:id="rId2"/>
    <sheet name="2. CALC" sheetId="7" r:id="rId3"/>
    <sheet name="3. PPS" sheetId="3" r:id="rId4"/>
    <sheet name="example Urban North" sheetId="11" r:id="rId5"/>
  </sheets>
  <definedNames>
    <definedName name="__123Graph_A" localSheetId="1" hidden="1">#REF!</definedName>
    <definedName name="__123Graph_A" localSheetId="2" hidden="1">#REF!</definedName>
    <definedName name="__123Graph_A" hidden="1">#REF!</definedName>
    <definedName name="__123Graph_AGRAPH1" localSheetId="1" hidden="1">#REF!</definedName>
    <definedName name="__123Graph_AGRAPH1" localSheetId="2" hidden="1">#REF!</definedName>
    <definedName name="__123Graph_AGRAPH1" hidden="1">#REF!</definedName>
    <definedName name="__123Graph_AGRAPH2" localSheetId="1" hidden="1">#REF!</definedName>
    <definedName name="__123Graph_AGRAPH2" localSheetId="2" hidden="1">#REF!</definedName>
    <definedName name="__123Graph_AGRAPH2" hidden="1">#REF!</definedName>
    <definedName name="__123Graph_AGRAPH3" localSheetId="1" hidden="1">#REF!</definedName>
    <definedName name="__123Graph_AGRAPH3" localSheetId="2" hidden="1">#REF!</definedName>
    <definedName name="__123Graph_AGRAPH3" hidden="1">#REF!</definedName>
    <definedName name="__123Graph_AGRAPH4" localSheetId="1" hidden="1">#REF!</definedName>
    <definedName name="__123Graph_AGRAPH4" localSheetId="2" hidden="1">#REF!</definedName>
    <definedName name="__123Graph_AGRAPH4" hidden="1">#REF!</definedName>
    <definedName name="__123Graph_AGRAPH5" localSheetId="1" hidden="1">#REF!</definedName>
    <definedName name="__123Graph_AGRAPH5" localSheetId="2" hidden="1">#REF!</definedName>
    <definedName name="__123Graph_AGRAPH5" hidden="1">#REF!</definedName>
    <definedName name="__123Graph_AGRAPH6" localSheetId="1" hidden="1">#REF!</definedName>
    <definedName name="__123Graph_AGRAPH6" localSheetId="2" hidden="1">#REF!</definedName>
    <definedName name="__123Graph_AGRAPH6" hidden="1">#REF!</definedName>
    <definedName name="__123Graph_B" localSheetId="1" hidden="1">#REF!</definedName>
    <definedName name="__123Graph_B" localSheetId="2" hidden="1">#REF!</definedName>
    <definedName name="__123Graph_B" hidden="1">#REF!</definedName>
    <definedName name="__123Graph_BGRAPH1" localSheetId="1" hidden="1">#REF!</definedName>
    <definedName name="__123Graph_BGRAPH1" localSheetId="2" hidden="1">#REF!</definedName>
    <definedName name="__123Graph_BGRAPH1" hidden="1">#REF!</definedName>
    <definedName name="__123Graph_BGRAPH2" localSheetId="1" hidden="1">#REF!</definedName>
    <definedName name="__123Graph_BGRAPH2" localSheetId="2" hidden="1">#REF!</definedName>
    <definedName name="__123Graph_BGRAPH2" hidden="1">#REF!</definedName>
    <definedName name="__123Graph_BGRAPH3" localSheetId="1" hidden="1">#REF!</definedName>
    <definedName name="__123Graph_BGRAPH3" localSheetId="2" hidden="1">#REF!</definedName>
    <definedName name="__123Graph_BGRAPH3" hidden="1">#REF!</definedName>
    <definedName name="__123Graph_BGRAPH4" localSheetId="1" hidden="1">#REF!</definedName>
    <definedName name="__123Graph_BGRAPH4" localSheetId="2" hidden="1">#REF!</definedName>
    <definedName name="__123Graph_BGRAPH4" hidden="1">#REF!</definedName>
    <definedName name="__123Graph_BGRAPH5" localSheetId="1" hidden="1">#REF!</definedName>
    <definedName name="__123Graph_BGRAPH5" localSheetId="2" hidden="1">#REF!</definedName>
    <definedName name="__123Graph_BGRAPH5" hidden="1">#REF!</definedName>
    <definedName name="__123Graph_BGRAPH6" localSheetId="1" hidden="1">#REF!</definedName>
    <definedName name="__123Graph_BGRAPH6" localSheetId="2" hidden="1">#REF!</definedName>
    <definedName name="__123Graph_BGRAPH6" hidden="1">#REF!</definedName>
    <definedName name="__123Graph_C" localSheetId="1" hidden="1">#REF!</definedName>
    <definedName name="__123Graph_C" localSheetId="2" hidden="1">#REF!</definedName>
    <definedName name="__123Graph_C" hidden="1">#REF!</definedName>
    <definedName name="__123Graph_CGRAPH1" localSheetId="1" hidden="1">#REF!</definedName>
    <definedName name="__123Graph_CGRAPH1" localSheetId="2" hidden="1">#REF!</definedName>
    <definedName name="__123Graph_CGRAPH1" hidden="1">#REF!</definedName>
    <definedName name="__123Graph_CGRAPH2" localSheetId="1" hidden="1">#REF!</definedName>
    <definedName name="__123Graph_CGRAPH2" localSheetId="2" hidden="1">#REF!</definedName>
    <definedName name="__123Graph_CGRAPH2" hidden="1">#REF!</definedName>
    <definedName name="__123Graph_CGRAPH3" localSheetId="1" hidden="1">#REF!</definedName>
    <definedName name="__123Graph_CGRAPH3" localSheetId="2" hidden="1">#REF!</definedName>
    <definedName name="__123Graph_CGRAPH3" hidden="1">#REF!</definedName>
    <definedName name="__123Graph_CGRAPH6" localSheetId="1" hidden="1">#REF!</definedName>
    <definedName name="__123Graph_CGRAPH6" localSheetId="2" hidden="1">#REF!</definedName>
    <definedName name="__123Graph_CGRAPH6" hidden="1">#REF!</definedName>
    <definedName name="__123Graph_D" localSheetId="1" hidden="1">#REF!</definedName>
    <definedName name="__123Graph_D" localSheetId="2" hidden="1">#REF!</definedName>
    <definedName name="__123Graph_D" hidden="1">#REF!</definedName>
    <definedName name="__123Graph_DGRAPH1" localSheetId="1" hidden="1">#REF!</definedName>
    <definedName name="__123Graph_DGRAPH1" localSheetId="2" hidden="1">#REF!</definedName>
    <definedName name="__123Graph_DGRAPH1" hidden="1">#REF!</definedName>
    <definedName name="__123Graph_DGRAPH3" localSheetId="1" hidden="1">#REF!</definedName>
    <definedName name="__123Graph_DGRAPH3" localSheetId="2" hidden="1">#REF!</definedName>
    <definedName name="__123Graph_DGRAPH3" hidden="1">#REF!</definedName>
    <definedName name="__123Graph_DGRAPH6" localSheetId="1" hidden="1">#REF!</definedName>
    <definedName name="__123Graph_DGRAPH6" localSheetId="2" hidden="1">#REF!</definedName>
    <definedName name="__123Graph_DGRAPH6" hidden="1">#REF!</definedName>
    <definedName name="__123Graph_LBL_A" localSheetId="1" hidden="1">#REF!</definedName>
    <definedName name="__123Graph_LBL_A" localSheetId="2" hidden="1">#REF!</definedName>
    <definedName name="__123Graph_LBL_A" hidden="1">#REF!</definedName>
    <definedName name="__123Graph_LBL_AGRAPH1" localSheetId="1" hidden="1">#REF!</definedName>
    <definedName name="__123Graph_LBL_AGRAPH1" localSheetId="2" hidden="1">#REF!</definedName>
    <definedName name="__123Graph_LBL_AGRAPH1" hidden="1">#REF!</definedName>
    <definedName name="__123Graph_LBL_AGRAPH2" localSheetId="1" hidden="1">#REF!</definedName>
    <definedName name="__123Graph_LBL_AGRAPH2" localSheetId="2" hidden="1">#REF!</definedName>
    <definedName name="__123Graph_LBL_AGRAPH2" hidden="1">#REF!</definedName>
    <definedName name="__123Graph_LBL_B" localSheetId="1" hidden="1">#REF!</definedName>
    <definedName name="__123Graph_LBL_B" localSheetId="2" hidden="1">#REF!</definedName>
    <definedName name="__123Graph_LBL_B" hidden="1">#REF!</definedName>
    <definedName name="__123Graph_LBL_BGRAPH2" localSheetId="1" hidden="1">#REF!</definedName>
    <definedName name="__123Graph_LBL_BGRAPH2" localSheetId="2" hidden="1">#REF!</definedName>
    <definedName name="__123Graph_LBL_BGRAPH2" hidden="1">#REF!</definedName>
    <definedName name="__123Graph_LBL_D" localSheetId="1" hidden="1">#REF!</definedName>
    <definedName name="__123Graph_LBL_D" localSheetId="2" hidden="1">#REF!</definedName>
    <definedName name="__123Graph_LBL_D" hidden="1">#REF!</definedName>
    <definedName name="__123Graph_LBL_DGRAPH1" localSheetId="1" hidden="1">#REF!</definedName>
    <definedName name="__123Graph_LBL_DGRAPH1" localSheetId="2" hidden="1">#REF!</definedName>
    <definedName name="__123Graph_LBL_DGRAPH1" hidden="1">#REF!</definedName>
    <definedName name="__123Graph_X" localSheetId="1" hidden="1">#REF!</definedName>
    <definedName name="__123Graph_X" localSheetId="2" hidden="1">#REF!</definedName>
    <definedName name="__123Graph_X" hidden="1">#REF!</definedName>
    <definedName name="__123Graph_XGRAPH1" localSheetId="1" hidden="1">#REF!</definedName>
    <definedName name="__123Graph_XGRAPH1" localSheetId="2" hidden="1">#REF!</definedName>
    <definedName name="__123Graph_XGRAPH1" hidden="1">#REF!</definedName>
    <definedName name="__123Graph_XGRAPH2" localSheetId="1" hidden="1">#REF!</definedName>
    <definedName name="__123Graph_XGRAPH2" localSheetId="2" hidden="1">#REF!</definedName>
    <definedName name="__123Graph_XGRAPH2" hidden="1">#REF!</definedName>
    <definedName name="__123Graph_XGRAPH3" localSheetId="1" hidden="1">#REF!</definedName>
    <definedName name="__123Graph_XGRAPH3" localSheetId="2" hidden="1">#REF!</definedName>
    <definedName name="__123Graph_XGRAPH3" hidden="1">#REF!</definedName>
    <definedName name="__123Graph_XGRAPH4" localSheetId="1" hidden="1">#REF!</definedName>
    <definedName name="__123Graph_XGRAPH4" localSheetId="2" hidden="1">#REF!</definedName>
    <definedName name="__123Graph_XGRAPH4" hidden="1">#REF!</definedName>
    <definedName name="__123Graph_XGRAPH5" localSheetId="1" hidden="1">#REF!</definedName>
    <definedName name="__123Graph_XGRAPH5" localSheetId="2" hidden="1">#REF!</definedName>
    <definedName name="__123Graph_XGRAPH5" hidden="1">#REF!</definedName>
    <definedName name="__123Graph_XGRAPH6" localSheetId="1" hidden="1">#REF!</definedName>
    <definedName name="__123Graph_XGRAPH6" localSheetId="2" hidden="1">#REF!</definedName>
    <definedName name="__123Graph_XGRAPH6" hidden="1">#REF!</definedName>
    <definedName name="__aan1">#REF!</definedName>
    <definedName name="__aca1">0</definedName>
    <definedName name="__acb1" localSheetId="1">SUMIF(__Cum31,206,__sfd1)</definedName>
    <definedName name="__acb1" localSheetId="2">SUMIF(__Cum31,206,__sfd1)</definedName>
    <definedName name="__acb1">SUMIF(__Cum31,206,__sfd1)</definedName>
    <definedName name="__adn1">#REF!</definedName>
    <definedName name="__aea1" localSheetId="1">SUMIF(__cum41,2811,__sfc1)+SUMIF(__cum51,29191,__sfc1)</definedName>
    <definedName name="__aea1" localSheetId="2">SUMIF(__cum41,2811,__sfc1)+SUMIF(__cum51,29191,__sfc1)</definedName>
    <definedName name="__aea1">SUMIF(__cum41,2811,__sfc1)+SUMIF(__cum51,29191,__sfc1)</definedName>
    <definedName name="__aeb1" localSheetId="1">SUMIF(__Cum31,211,__sfd1)+SUMIF(__cum41,2191,__sfd1)</definedName>
    <definedName name="__aeb1" localSheetId="2">SUMIF(__Cum31,211,__sfd1)+SUMIF(__cum41,2191,__sfd1)</definedName>
    <definedName name="__aeb1">SUMIF(__Cum31,211,__sfd1)+SUMIF(__cum41,2191,__sfd1)</definedName>
    <definedName name="__afa1" localSheetId="1">SUMIF(__cum41,2812,__sfc1)+SUMIF(__cum41,2913,__sfc1)+SUMIF(__cum41,2814,__sfc1)+SUMIF(__cum41,2912,__sfc1)+SUMIF(__cum41,2813,__sfc1)+SUMIF(__cum41,2914,__sfc1)+SUMIF(__cum51,29192,__sfc1)</definedName>
    <definedName name="__afa1" localSheetId="2">SUMIF(__cum41,2812,__sfc1)+SUMIF(__cum41,2913,__sfc1)+SUMIF(__cum41,2814,__sfc1)+SUMIF(__cum41,2912,__sfc1)+SUMIF(__cum41,2813,__sfc1)+SUMIF(__cum41,2914,__sfc1)+SUMIF(__cum51,29192,__sfc1)</definedName>
    <definedName name="__afa1">SUMIF(__cum41,2812,__sfc1)+SUMIF(__cum41,2913,__sfc1)+SUMIF(__cum41,2814,__sfc1)+SUMIF(__cum41,2912,__sfc1)+SUMIF(__cum41,2813,__sfc1)+SUMIF(__cum41,2914,__sfc1)+SUMIF(__cum51,29192,__sfc1)</definedName>
    <definedName name="__afb1" localSheetId="1">SUMIF(__Cum31,212,__sfd1)+SUMIF(__Cum31,213,__sfd1)+SUMIF(__Cum31,214,__sfd1)+SUMIF(__cum41,2193,__sfd1)</definedName>
    <definedName name="__afb1" localSheetId="2">SUMIF(__Cum31,212,__sfd1)+SUMIF(__Cum31,213,__sfd1)+SUMIF(__Cum31,214,__sfd1)+SUMIF(__cum41,2193,__sfd1)</definedName>
    <definedName name="__afb1">SUMIF(__Cum31,212,__sfd1)+SUMIF(__Cum31,213,__sfd1)+SUMIF(__Cum31,214,__sfd1)+SUMIF(__cum41,2193,__sfd1)</definedName>
    <definedName name="__aga1" localSheetId="1">SUMIF(__cum41,2815,__sfc1)+SUMIF(__cum41,2816,__sfc1)+SUMIF(__cum41,2915,__sfc1)+SUMIF(__cum41,2916,__sfc1)</definedName>
    <definedName name="__aga1" localSheetId="2">SUMIF(__cum41,2815,__sfc1)+SUMIF(__cum41,2816,__sfc1)+SUMIF(__cum41,2915,__sfc1)+SUMIF(__cum41,2916,__sfc1)</definedName>
    <definedName name="__aga1">SUMIF(__cum41,2815,__sfc1)+SUMIF(__cum41,2816,__sfc1)+SUMIF(__cum41,2915,__sfc1)+SUMIF(__cum41,2916,__sfc1)</definedName>
    <definedName name="__agb1" localSheetId="1">SUMIF(__Cum31,215,__sfd1)+SUMIF(__Cum31,216,__sfd1)</definedName>
    <definedName name="__agb1" localSheetId="2">SUMIF(__Cum31,215,__sfd1)+SUMIF(__Cum31,216,__sfd1)</definedName>
    <definedName name="__agb1">SUMIF(__Cum31,215,__sfd1)+SUMIF(__Cum31,216,__sfd1)</definedName>
    <definedName name="__aha1" localSheetId="1">SUMIF(__cum41,2817,__sfc1)+SUMIF(__cum41,2818,__sfc1)+SUMIF(__cum41,2917,__sfc1)+SUMIF(__cum41,2918,__sfc1)+SUMIF(__cum51,29193,__sfc1)</definedName>
    <definedName name="__aha1" localSheetId="2">SUMIF(__cum41,2817,__sfc1)+SUMIF(__cum41,2818,__sfc1)+SUMIF(__cum41,2917,__sfc1)+SUMIF(__cum41,2918,__sfc1)+SUMIF(__cum51,29193,__sfc1)</definedName>
    <definedName name="__aha1">SUMIF(__cum41,2817,__sfc1)+SUMIF(__cum41,2818,__sfc1)+SUMIF(__cum41,2917,__sfc1)+SUMIF(__cum41,2918,__sfc1)+SUMIF(__cum51,29193,__sfc1)</definedName>
    <definedName name="__ahb1" localSheetId="1">SUMIF(__Cum31,217,__sfd1)+SUMIF(__Cum31,218,__sfd1)+SUMIF(__cum41,2198,__sfd1)</definedName>
    <definedName name="__ahb1" localSheetId="2">SUMIF(__Cum31,217,__sfd1)+SUMIF(__Cum31,218,__sfd1)+SUMIF(__cum41,2198,__sfd1)</definedName>
    <definedName name="__ahb1">SUMIF(__Cum31,217,__sfd1)+SUMIF(__Cum31,218,__sfd1)+SUMIF(__cum41,2198,__sfd1)</definedName>
    <definedName name="__ain1">#REF!</definedName>
    <definedName name="__aja1" localSheetId="1">SUMIF(__Cum31,282,__sfc1)+SUMIF(__Cum31,292,__sfc1)</definedName>
    <definedName name="__aja1" localSheetId="2">SUMIF(__Cum31,282,__sfc1)+SUMIF(__Cum31,292,__sfc1)</definedName>
    <definedName name="__aja1">SUMIF(__Cum31,282,__sfc1)+SUMIF(__Cum31,292,__sfc1)</definedName>
    <definedName name="__ajb1" localSheetId="1">SUMIF(__cum21,22,__sfd1)</definedName>
    <definedName name="__ajb1" localSheetId="2">SUMIF(__cum21,22,__sfd1)</definedName>
    <definedName name="__ajb1">SUMIF(__cum21,22,__sfd1)</definedName>
    <definedName name="__aka1" localSheetId="1">SUMIF(__cum41,2831,__sfc1)+SUMIF(__cum41,2832,__sfc1)+SUMIF(__cum41,2833,__sfc1)+SUMIF(__cum41,2837,__sfc1)+SUMIF(__cum41,2931,__sfc1)+SUMIF(__cum41,2932,__sfc1)+SUMIF(__cum41,2933,__sfc1)+SUMIF(__cum41,2937,__sfc1)+SUMIF(__cum51,29391,__sfc1)</definedName>
    <definedName name="__aka1" localSheetId="2">SUMIF(__cum41,2831,__sfc1)+SUMIF(__cum41,2832,__sfc1)+SUMIF(__cum41,2833,__sfc1)+SUMIF(__cum41,2837,__sfc1)+SUMIF(__cum41,2931,__sfc1)+SUMIF(__cum41,2932,__sfc1)+SUMIF(__cum41,2933,__sfc1)+SUMIF(__cum41,2937,__sfc1)+SUMIF(__cum51,29391,__sfc1)</definedName>
    <definedName name="__aka1">SUMIF(__cum41,2831,__sfc1)+SUMIF(__cum41,2832,__sfc1)+SUMIF(__cum41,2833,__sfc1)+SUMIF(__cum41,2837,__sfc1)+SUMIF(__cum41,2931,__sfc1)+SUMIF(__cum41,2932,__sfc1)+SUMIF(__cum41,2933,__sfc1)+SUMIF(__cum41,2937,__sfc1)+SUMIF(__cum51,29391,__sfc1)</definedName>
    <definedName name="__akb1" localSheetId="1">SUMIF(__Cum31,231,__sfd1)+SUMIF(__Cum31,232,__sfd1)+SUMIF(__Cum31,233,__sfd1)+SUMIF(__Cum31,237,__sfd1)+SUMIF(__cum41,2391,__sfd1)</definedName>
    <definedName name="__akb1" localSheetId="2">SUMIF(__Cum31,231,__sfd1)+SUMIF(__Cum31,232,__sfd1)+SUMIF(__Cum31,233,__sfd1)+SUMIF(__Cum31,237,__sfd1)+SUMIF(__cum41,2391,__sfd1)</definedName>
    <definedName name="__akb1">SUMIF(__Cum31,231,__sfd1)+SUMIF(__Cum31,232,__sfd1)+SUMIF(__Cum31,233,__sfd1)+SUMIF(__Cum31,237,__sfd1)+SUMIF(__cum41,2391,__sfd1)</definedName>
    <definedName name="__aqn1">#REF!</definedName>
    <definedName name="__axa1">0</definedName>
    <definedName name="__axb1" localSheetId="1">SUMIF(__Cum31,202,__sfd1)</definedName>
    <definedName name="__axb1" localSheetId="2">SUMIF(__Cum31,202,__sfd1)</definedName>
    <definedName name="__axb1">SUMIF(__Cum31,202,__sfd1)</definedName>
    <definedName name="__AYA1">0</definedName>
    <definedName name="__AYB1" localSheetId="1">SUMIF(__Cum31,202,__sfd1)</definedName>
    <definedName name="__AYB1" localSheetId="2">SUMIF(__Cum31,202,__sfd1)</definedName>
    <definedName name="__AYB1">SUMIF(__Cum31,202,__sfd1)</definedName>
    <definedName name="__azn1">#REF!</definedName>
    <definedName name="__bcn1">#REF!</definedName>
    <definedName name="__bdn1">#REF!</definedName>
    <definedName name="__ben1">#REF!</definedName>
    <definedName name="__bfe1">#REF!</definedName>
    <definedName name="__bfe2">#REF!</definedName>
    <definedName name="__bfn1">#REF!</definedName>
    <definedName name="__bhn1">#REF!</definedName>
    <definedName name="__bin1">#REF!</definedName>
    <definedName name="__bjn1">#REF!</definedName>
    <definedName name="__bkn1">#REF!</definedName>
    <definedName name="__btn1">#REF!</definedName>
    <definedName name="__bun1">#REF!</definedName>
    <definedName name="__bzn1">#REF!</definedName>
    <definedName name="__Chart_of_accounts_" localSheetId="1">#REF!</definedName>
    <definedName name="__Chart_of_accounts_" localSheetId="2">#REF!</definedName>
    <definedName name="__Chart_of_accounts_">#REF!</definedName>
    <definedName name="__Chart_of_accounts_account" localSheetId="1">#REF!</definedName>
    <definedName name="__Chart_of_accounts_account" localSheetId="2">#REF!</definedName>
    <definedName name="__Chart_of_accounts_account">#REF!</definedName>
    <definedName name="__Chart_of_accounts_account_grp" localSheetId="1">#REF!</definedName>
    <definedName name="__Chart_of_accounts_account_grp" localSheetId="2">#REF!</definedName>
    <definedName name="__Chart_of_accounts_account_grp">#REF!</definedName>
    <definedName name="__Chart_of_accounts_account_rule" localSheetId="1">#REF!</definedName>
    <definedName name="__Chart_of_accounts_account_rule" localSheetId="2">#REF!</definedName>
    <definedName name="__Chart_of_accounts_account_rule">#REF!</definedName>
    <definedName name="__Chart_of_accounts_account_type" localSheetId="1">#REF!</definedName>
    <definedName name="__Chart_of_accounts_account_type" localSheetId="2">#REF!</definedName>
    <definedName name="__Chart_of_accounts_account_type">#REF!</definedName>
    <definedName name="__Chart_of_accounts_client" localSheetId="1">#REF!</definedName>
    <definedName name="__Chart_of_accounts_client" localSheetId="2">#REF!</definedName>
    <definedName name="__Chart_of_accounts_client">#REF!</definedName>
    <definedName name="__Chart_of_accounts_description" localSheetId="1">#REF!</definedName>
    <definedName name="__Chart_of_accounts_description" localSheetId="2">#REF!</definedName>
    <definedName name="__Chart_of_accounts_description">#REF!</definedName>
    <definedName name="__Chart_of_accounts_head_account" localSheetId="1">#REF!</definedName>
    <definedName name="__Chart_of_accounts_head_account" localSheetId="2">#REF!</definedName>
    <definedName name="__Chart_of_accounts_head_account">#REF!</definedName>
    <definedName name="__Chart_of_accounts_period_from" localSheetId="1">#REF!</definedName>
    <definedName name="__Chart_of_accounts_period_from" localSheetId="2">#REF!</definedName>
    <definedName name="__Chart_of_accounts_period_from">#REF!</definedName>
    <definedName name="__Chart_of_accounts_period_to" localSheetId="1">#REF!</definedName>
    <definedName name="__Chart_of_accounts_period_to" localSheetId="2">#REF!</definedName>
    <definedName name="__Chart_of_accounts_period_to">#REF!</definedName>
    <definedName name="__Chart_of_accounts_status" localSheetId="1">#REF!</definedName>
    <definedName name="__Chart_of_accounts_status" localSheetId="2">#REF!</definedName>
    <definedName name="__Chart_of_accounts_status">#REF!</definedName>
    <definedName name="__Chart_of_accounts_tab" localSheetId="1">#REF!</definedName>
    <definedName name="__Chart_of_accounts_tab" localSheetId="2">#REF!</definedName>
    <definedName name="__Chart_of_accounts_tab">#REF!</definedName>
    <definedName name="__Chart_of_accounts_xaccount_grp" localSheetId="1">#REF!</definedName>
    <definedName name="__Chart_of_accounts_xaccount_grp" localSheetId="2">#REF!</definedName>
    <definedName name="__Chart_of_accounts_xaccount_grp">#REF!</definedName>
    <definedName name="__cum1" localSheetId="1">#REF!</definedName>
    <definedName name="__cum1" localSheetId="2">#REF!</definedName>
    <definedName name="__cum1">#REF!</definedName>
    <definedName name="__cum2" localSheetId="1">#REF!</definedName>
    <definedName name="__cum2" localSheetId="2">#REF!</definedName>
    <definedName name="__cum2">#REF!</definedName>
    <definedName name="__cum21">#REF!</definedName>
    <definedName name="__cum3" localSheetId="1">#REF!</definedName>
    <definedName name="__cum3" localSheetId="2">#REF!</definedName>
    <definedName name="__cum3">#REF!</definedName>
    <definedName name="__Cum31">#REF!</definedName>
    <definedName name="__cum4" localSheetId="1">#REF!</definedName>
    <definedName name="__cum4" localSheetId="2">#REF!</definedName>
    <definedName name="__cum4">#REF!</definedName>
    <definedName name="__cum41">#REF!</definedName>
    <definedName name="__cum5" localSheetId="1">#REF!</definedName>
    <definedName name="__cum5" localSheetId="2">#REF!</definedName>
    <definedName name="__cum5">#REF!</definedName>
    <definedName name="__cum51">#REF!</definedName>
    <definedName name="__cum6" localSheetId="1">#REF!</definedName>
    <definedName name="__cum6" localSheetId="2">#REF!</definedName>
    <definedName name="__cum6">#REF!</definedName>
    <definedName name="__cum7" localSheetId="1">#REF!</definedName>
    <definedName name="__cum7" localSheetId="2">#REF!</definedName>
    <definedName name="__cum7">#REF!</definedName>
    <definedName name="__cum8" localSheetId="1">#REF!</definedName>
    <definedName name="__cum8" localSheetId="2">#REF!</definedName>
    <definedName name="__cum8">#REF!</definedName>
    <definedName name="__din1">#REF!</definedName>
    <definedName name="__djn1">#REF!</definedName>
    <definedName name="__dkn1">#REF!</definedName>
    <definedName name="__dln1">#REF!</definedName>
    <definedName name="__dmn1">#REF!</definedName>
    <definedName name="__dpn1">#REF!</definedName>
    <definedName name="__dtn1">#REF!</definedName>
    <definedName name="__dun1">#REF!</definedName>
    <definedName name="__dzn1">#REF!</definedName>
    <definedName name="__FFN1">#REF!</definedName>
    <definedName name="__FGN1">#REF!</definedName>
    <definedName name="__fkn1">#REF!</definedName>
    <definedName name="__fsn1">#REF!</definedName>
    <definedName name="__ftn1">#REF!</definedName>
    <definedName name="__fwn1">#REF!</definedName>
    <definedName name="__mc1">#REF!</definedName>
    <definedName name="__md1">#REF!</definedName>
    <definedName name="__parameters_" localSheetId="1">#REF!</definedName>
    <definedName name="__parameters_" localSheetId="2">#REF!</definedName>
    <definedName name="__parameters_">#REF!</definedName>
    <definedName name="__parameters_client" localSheetId="1">#REF!</definedName>
    <definedName name="__parameters_client" localSheetId="2">#REF!</definedName>
    <definedName name="__parameters_client">#REF!</definedName>
    <definedName name="__parameters_Company" localSheetId="1">#REF!</definedName>
    <definedName name="__parameters_Company" localSheetId="2">#REF!</definedName>
    <definedName name="__parameters_Company">#REF!</definedName>
    <definedName name="__parameters_language" localSheetId="1">#REF!</definedName>
    <definedName name="__parameters_language" localSheetId="2">#REF!</definedName>
    <definedName name="__parameters_language">#REF!</definedName>
    <definedName name="__parameters_Status" localSheetId="1">#REF!</definedName>
    <definedName name="__parameters_Status" localSheetId="2">#REF!</definedName>
    <definedName name="__parameters_Status">#REF!</definedName>
    <definedName name="__parameters_template" localSheetId="1">#REF!</definedName>
    <definedName name="__parameters_template" localSheetId="2">#REF!</definedName>
    <definedName name="__parameters_template">#REF!</definedName>
    <definedName name="__parameters_user_id" localSheetId="1">#REF!</definedName>
    <definedName name="__parameters_user_id" localSheetId="2">#REF!</definedName>
    <definedName name="__parameters_user_id">#REF!</definedName>
    <definedName name="__ran1">#REF!</definedName>
    <definedName name="__rbn1">#REF!</definedName>
    <definedName name="__rcn1">#REF!</definedName>
    <definedName name="__rdn1">#REF!</definedName>
    <definedName name="__ren1">#REF!</definedName>
    <definedName name="__rhn1">#REF!</definedName>
    <definedName name="__rin1">#REF!</definedName>
    <definedName name="__rjn1">#REF!</definedName>
    <definedName name="__rkn1">#REF!</definedName>
    <definedName name="__rln1">#REF!</definedName>
    <definedName name="__rpn1">#REF!</definedName>
    <definedName name="__rwn1">#REF!</definedName>
    <definedName name="__san1">#REF!</definedName>
    <definedName name="__scn1">#REF!</definedName>
    <definedName name="__sfc1">#REF!</definedName>
    <definedName name="__sfd1">#REF!</definedName>
    <definedName name="__sfn1">#REF!</definedName>
    <definedName name="__shn1">#REF!</definedName>
    <definedName name="__sic1">#REF!</definedName>
    <definedName name="__sid1">#REF!</definedName>
    <definedName name="__son1">#REF!</definedName>
    <definedName name="__sqn1">#REF!</definedName>
    <definedName name="__srn1">#REF!</definedName>
    <definedName name="__ssn1">#REF!</definedName>
    <definedName name="__stn1">#REF!</definedName>
    <definedName name="__tan1">#REF!</definedName>
    <definedName name="__tbn1">#REF!</definedName>
    <definedName name="__tcn1">#REF!</definedName>
    <definedName name="__tdn1">#REF!</definedName>
    <definedName name="__ten1">#REF!</definedName>
    <definedName name="__tfn1">#REF!</definedName>
    <definedName name="__tgn1">#REF!</definedName>
    <definedName name="__thn1">#REF!</definedName>
    <definedName name="__tkn1">#REF!</definedName>
    <definedName name="__tln1">#REF!</definedName>
    <definedName name="__tnn1">#REF!</definedName>
    <definedName name="__tqn1">#REF!</definedName>
    <definedName name="__ttn1">#REF!</definedName>
    <definedName name="__twn1">#REF!</definedName>
    <definedName name="__uan1">#REF!</definedName>
    <definedName name="__ucn1">#REF!</definedName>
    <definedName name="__uen1">#REF!</definedName>
    <definedName name="__ufn1">#REF!</definedName>
    <definedName name="__uhn1">#REF!</definedName>
    <definedName name="__uln1">#REF!</definedName>
    <definedName name="__unn1">#REF!</definedName>
    <definedName name="__uon1">#REF!</definedName>
    <definedName name="__utn1">#REF!</definedName>
    <definedName name="_1" localSheetId="1" hidden="1">#REF!</definedName>
    <definedName name="_1" localSheetId="2" hidden="1">#REF!</definedName>
    <definedName name="_1" hidden="1">#REF!</definedName>
    <definedName name="_2008">#REF!</definedName>
    <definedName name="_8_1" localSheetId="1">#REF!</definedName>
    <definedName name="_8_1" localSheetId="2">#REF!</definedName>
    <definedName name="_8_1">#REF!</definedName>
    <definedName name="_aan1">#REF!</definedName>
    <definedName name="_aca1">0</definedName>
    <definedName name="_acb1" localSheetId="1">SUMIF(_Cum31,206,_sfd1)</definedName>
    <definedName name="_acb1" localSheetId="2">SUMIF(_Cum31,206,_sfd1)</definedName>
    <definedName name="_acb1">SUMIF(_Cum31,206,_sfd1)</definedName>
    <definedName name="_adn1">#REF!</definedName>
    <definedName name="_aea1" localSheetId="1">SUMIF(_cum41,2811,_sfc1)+SUMIF(_cum51,29191,_sfc1)</definedName>
    <definedName name="_aea1" localSheetId="2">SUMIF(_cum41,2811,_sfc1)+SUMIF(_cum51,29191,_sfc1)</definedName>
    <definedName name="_aea1">SUMIF(_cum41,2811,_sfc1)+SUMIF(_cum51,29191,_sfc1)</definedName>
    <definedName name="_aeb1" localSheetId="1">SUMIF(_Cum31,211,_sfd1)+SUMIF(_cum41,2191,_sfd1)</definedName>
    <definedName name="_aeb1" localSheetId="2">SUMIF(_Cum31,211,_sfd1)+SUMIF(_cum41,2191,_sfd1)</definedName>
    <definedName name="_aeb1">SUMIF(_Cum31,211,_sfd1)+SUMIF(_cum41,2191,_sfd1)</definedName>
    <definedName name="_afa1" localSheetId="1">SUMIF(_cum41,2812,_sfc1)+SUMIF(_cum41,2913,_sfc1)+SUMIF(_cum41,2814,_sfc1)+SUMIF(_cum41,2912,_sfc1)+SUMIF(_cum41,2813,_sfc1)+SUMIF(_cum41,2914,_sfc1)+SUMIF(_cum51,29192,_sfc1)</definedName>
    <definedName name="_afa1" localSheetId="2">SUMIF(_cum41,2812,_sfc1)+SUMIF(_cum41,2913,_sfc1)+SUMIF(_cum41,2814,_sfc1)+SUMIF(_cum41,2912,_sfc1)+SUMIF(_cum41,2813,_sfc1)+SUMIF(_cum41,2914,_sfc1)+SUMIF(_cum51,29192,_sfc1)</definedName>
    <definedName name="_afa1">SUMIF(_cum41,2812,_sfc1)+SUMIF(_cum41,2913,_sfc1)+SUMIF(_cum41,2814,_sfc1)+SUMIF(_cum41,2912,_sfc1)+SUMIF(_cum41,2813,_sfc1)+SUMIF(_cum41,2914,_sfc1)+SUMIF(_cum51,29192,_sfc1)</definedName>
    <definedName name="_afb1" localSheetId="1">SUMIF(_Cum31,212,_sfd1)+SUMIF(_Cum31,213,_sfd1)+SUMIF(_Cum31,214,_sfd1)+SUMIF(_cum41,2193,_sfd1)</definedName>
    <definedName name="_afb1" localSheetId="2">SUMIF(_Cum31,212,_sfd1)+SUMIF(_Cum31,213,_sfd1)+SUMIF(_Cum31,214,_sfd1)+SUMIF(_cum41,2193,_sfd1)</definedName>
    <definedName name="_afb1">SUMIF(_Cum31,212,_sfd1)+SUMIF(_Cum31,213,_sfd1)+SUMIF(_Cum31,214,_sfd1)+SUMIF(_cum41,2193,_sfd1)</definedName>
    <definedName name="_aga1" localSheetId="1">SUMIF(_cum41,2815,_sfc1)+SUMIF(_cum41,2816,_sfc1)+SUMIF(_cum41,2915,_sfc1)+SUMIF(_cum41,2916,_sfc1)</definedName>
    <definedName name="_aga1" localSheetId="2">SUMIF(_cum41,2815,_sfc1)+SUMIF(_cum41,2816,_sfc1)+SUMIF(_cum41,2915,_sfc1)+SUMIF(_cum41,2916,_sfc1)</definedName>
    <definedName name="_aga1">SUMIF(_cum41,2815,_sfc1)+SUMIF(_cum41,2816,_sfc1)+SUMIF(_cum41,2915,_sfc1)+SUMIF(_cum41,2916,_sfc1)</definedName>
    <definedName name="_agb1" localSheetId="1">SUMIF(_Cum31,215,_sfd1)+SUMIF(_Cum31,216,_sfd1)</definedName>
    <definedName name="_agb1" localSheetId="2">SUMIF(_Cum31,215,_sfd1)+SUMIF(_Cum31,216,_sfd1)</definedName>
    <definedName name="_agb1">SUMIF(_Cum31,215,_sfd1)+SUMIF(_Cum31,216,_sfd1)</definedName>
    <definedName name="_aha1" localSheetId="1">SUMIF(_cum41,2817,_sfc1)+SUMIF(_cum41,2818,_sfc1)+SUMIF(_cum41,2917,_sfc1)+SUMIF(_cum41,2918,_sfc1)+SUMIF(_cum51,29193,_sfc1)</definedName>
    <definedName name="_aha1" localSheetId="2">SUMIF(_cum41,2817,_sfc1)+SUMIF(_cum41,2818,_sfc1)+SUMIF(_cum41,2917,_sfc1)+SUMIF(_cum41,2918,_sfc1)+SUMIF(_cum51,29193,_sfc1)</definedName>
    <definedName name="_aha1">SUMIF(_cum41,2817,_sfc1)+SUMIF(_cum41,2818,_sfc1)+SUMIF(_cum41,2917,_sfc1)+SUMIF(_cum41,2918,_sfc1)+SUMIF(_cum51,29193,_sfc1)</definedName>
    <definedName name="_ahb1" localSheetId="1">SUMIF(_Cum31,217,_sfd1)+SUMIF(_Cum31,218,_sfd1)+SUMIF(_cum41,2198,_sfd1)</definedName>
    <definedName name="_ahb1" localSheetId="2">SUMIF(_Cum31,217,_sfd1)+SUMIF(_Cum31,218,_sfd1)+SUMIF(_cum41,2198,_sfd1)</definedName>
    <definedName name="_ahb1">SUMIF(_Cum31,217,_sfd1)+SUMIF(_Cum31,218,_sfd1)+SUMIF(_cum41,2198,_sfd1)</definedName>
    <definedName name="_ain1">#REF!</definedName>
    <definedName name="_aja1" localSheetId="1">SUMIF(_Cum31,282,_sfc1)+SUMIF(_Cum31,292,_sfc1)</definedName>
    <definedName name="_aja1" localSheetId="2">SUMIF(_Cum31,282,_sfc1)+SUMIF(_Cum31,292,_sfc1)</definedName>
    <definedName name="_aja1">SUMIF(_Cum31,282,_sfc1)+SUMIF(_Cum31,292,_sfc1)</definedName>
    <definedName name="_ajb1" localSheetId="1">SUMIF(_cum21,22,_sfd1)</definedName>
    <definedName name="_ajb1" localSheetId="2">SUMIF(_cum21,22,_sfd1)</definedName>
    <definedName name="_ajb1">SUMIF(_cum21,22,_sfd1)</definedName>
    <definedName name="_aka1" localSheetId="1">SUMIF(_cum41,2831,_sfc1)+SUMIF(_cum41,2832,_sfc1)+SUMIF(_cum41,2833,_sfc1)+SUMIF(_cum41,2837,_sfc1)+SUMIF(_cum41,2931,_sfc1)+SUMIF(_cum41,2932,_sfc1)+SUMIF(_cum41,2933,_sfc1)+SUMIF(_cum41,2937,_sfc1)+SUMIF(_cum51,29391,_sfc1)</definedName>
    <definedName name="_aka1" localSheetId="2">SUMIF(_cum41,2831,_sfc1)+SUMIF(_cum41,2832,_sfc1)+SUMIF(_cum41,2833,_sfc1)+SUMIF(_cum41,2837,_sfc1)+SUMIF(_cum41,2931,_sfc1)+SUMIF(_cum41,2932,_sfc1)+SUMIF(_cum41,2933,_sfc1)+SUMIF(_cum41,2937,_sfc1)+SUMIF(_cum51,29391,_sfc1)</definedName>
    <definedName name="_aka1">SUMIF(_cum41,2831,_sfc1)+SUMIF(_cum41,2832,_sfc1)+SUMIF(_cum41,2833,_sfc1)+SUMIF(_cum41,2837,_sfc1)+SUMIF(_cum41,2931,_sfc1)+SUMIF(_cum41,2932,_sfc1)+SUMIF(_cum41,2933,_sfc1)+SUMIF(_cum41,2937,_sfc1)+SUMIF(_cum51,29391,_sfc1)</definedName>
    <definedName name="_akb1" localSheetId="1">SUMIF(_Cum31,231,_sfd1)+SUMIF(_Cum31,232,_sfd1)+SUMIF(_Cum31,233,_sfd1)+SUMIF(_Cum31,237,_sfd1)+SUMIF(_cum41,2391,_sfd1)</definedName>
    <definedName name="_akb1" localSheetId="2">SUMIF(_Cum31,231,_sfd1)+SUMIF(_Cum31,232,_sfd1)+SUMIF(_Cum31,233,_sfd1)+SUMIF(_Cum31,237,_sfd1)+SUMIF(_cum41,2391,_sfd1)</definedName>
    <definedName name="_akb1">SUMIF(_Cum31,231,_sfd1)+SUMIF(_Cum31,232,_sfd1)+SUMIF(_Cum31,233,_sfd1)+SUMIF(_Cum31,237,_sfd1)+SUMIF(_cum41,2391,_sfd1)</definedName>
    <definedName name="_aqn1">#REF!</definedName>
    <definedName name="_axa1">0</definedName>
    <definedName name="_axb1" localSheetId="1">SUMIF(_Cum31,202,_sfd1)</definedName>
    <definedName name="_axb1" localSheetId="2">SUMIF(_Cum31,202,_sfd1)</definedName>
    <definedName name="_axb1">SUMIF(_Cum31,202,_sfd1)</definedName>
    <definedName name="_AYA1">0</definedName>
    <definedName name="_AYB1" localSheetId="1">SUMIF(_Cum31,202,_sfd1)</definedName>
    <definedName name="_AYB1" localSheetId="2">SUMIF(_Cum31,202,_sfd1)</definedName>
    <definedName name="_AYB1">SUMIF(_Cum31,202,_sfd1)</definedName>
    <definedName name="_azn1">#REF!</definedName>
    <definedName name="_bcn1">#REF!</definedName>
    <definedName name="_bdn1">#REF!</definedName>
    <definedName name="_ben1">#REF!</definedName>
    <definedName name="_bfe1">#REF!</definedName>
    <definedName name="_bfe2">#REF!</definedName>
    <definedName name="_bfn1">#REF!</definedName>
    <definedName name="_bhn1">#REF!</definedName>
    <definedName name="_bin1">#REF!</definedName>
    <definedName name="_bjn1">#REF!</definedName>
    <definedName name="_bkn1">#REF!</definedName>
    <definedName name="_btn1">#REF!</definedName>
    <definedName name="_bun1">#REF!</definedName>
    <definedName name="_bzn1">#REF!</definedName>
    <definedName name="_cum1" localSheetId="1">#REF!</definedName>
    <definedName name="_cum1" localSheetId="2">#REF!</definedName>
    <definedName name="_cum1">#REF!</definedName>
    <definedName name="_cum2" localSheetId="1">#REF!</definedName>
    <definedName name="_cum2" localSheetId="2">#REF!</definedName>
    <definedName name="_cum2">#REF!</definedName>
    <definedName name="_cum21">#REF!</definedName>
    <definedName name="_cum3" localSheetId="1">#REF!</definedName>
    <definedName name="_cum3" localSheetId="2">#REF!</definedName>
    <definedName name="_cum3">#REF!</definedName>
    <definedName name="_Cum31">#REF!</definedName>
    <definedName name="_cum4" localSheetId="1">#REF!</definedName>
    <definedName name="_cum4" localSheetId="2">#REF!</definedName>
    <definedName name="_cum4">#REF!</definedName>
    <definedName name="_cum41">#REF!</definedName>
    <definedName name="_cum5" localSheetId="1">#REF!</definedName>
    <definedName name="_cum5" localSheetId="2">#REF!</definedName>
    <definedName name="_cum5">#REF!</definedName>
    <definedName name="_cum51">#REF!</definedName>
    <definedName name="_cum6" localSheetId="1">#REF!</definedName>
    <definedName name="_cum6" localSheetId="2">#REF!</definedName>
    <definedName name="_cum6">#REF!</definedName>
    <definedName name="_cum7" localSheetId="1">#REF!</definedName>
    <definedName name="_cum7" localSheetId="2">#REF!</definedName>
    <definedName name="_cum7">#REF!</definedName>
    <definedName name="_cum8" localSheetId="1">#REF!</definedName>
    <definedName name="_cum8" localSheetId="2">#REF!</definedName>
    <definedName name="_cum8">#REF!</definedName>
    <definedName name="_din1">#REF!</definedName>
    <definedName name="_djn1">#REF!</definedName>
    <definedName name="_dkn1">#REF!</definedName>
    <definedName name="_dln1">#REF!</definedName>
    <definedName name="_dmn1">#REF!</definedName>
    <definedName name="_dpn1">#REF!</definedName>
    <definedName name="_dtn1">#REF!</definedName>
    <definedName name="_dun1">#REF!</definedName>
    <definedName name="_dzn1">#REF!</definedName>
    <definedName name="_FFN1">#REF!</definedName>
    <definedName name="_FGN1">#REF!</definedName>
    <definedName name="_Fill" localSheetId="1" hidden="1">#REF!</definedName>
    <definedName name="_Fill" localSheetId="2" hidden="1">#REF!</definedName>
    <definedName name="_Fill" hidden="1">#REF!</definedName>
    <definedName name="_fkn1">#REF!</definedName>
    <definedName name="_fsn1">#REF!</definedName>
    <definedName name="_ftn1">#REF!</definedName>
    <definedName name="_fwn1">#REF!</definedName>
    <definedName name="_Key1" localSheetId="1" hidden="1">#REF!</definedName>
    <definedName name="_Key1" localSheetId="2" hidden="1">#REF!</definedName>
    <definedName name="_Key1" hidden="1">#REF!</definedName>
    <definedName name="_key11" localSheetId="1" hidden="1">#REF!</definedName>
    <definedName name="_key11" localSheetId="2" hidden="1">#REF!</definedName>
    <definedName name="_key11" hidden="1">#REF!</definedName>
    <definedName name="_Key1b" localSheetId="1" hidden="1">#REF!</definedName>
    <definedName name="_Key1b" localSheetId="2" hidden="1">#REF!</definedName>
    <definedName name="_Key1b" hidden="1">#REF!</definedName>
    <definedName name="_Key2" localSheetId="1" hidden="1">#REF!</definedName>
    <definedName name="_Key2" localSheetId="2" hidden="1">#REF!</definedName>
    <definedName name="_Key2" hidden="1">#REF!</definedName>
    <definedName name="_MB40" localSheetId="1">#REF!</definedName>
    <definedName name="_MB40" localSheetId="2">#REF!</definedName>
    <definedName name="_MB40">#REF!</definedName>
    <definedName name="_MB44" localSheetId="1">#REF!</definedName>
    <definedName name="_MB44" localSheetId="2">#REF!</definedName>
    <definedName name="_MB44">#REF!</definedName>
    <definedName name="_mc1">#REF!</definedName>
    <definedName name="_md1">#REF!</definedName>
    <definedName name="_Order1" hidden="1">255</definedName>
    <definedName name="_Order2" hidden="1">255</definedName>
    <definedName name="_ran1">#REF!</definedName>
    <definedName name="_rbn1">#REF!</definedName>
    <definedName name="_rcn1">#REF!</definedName>
    <definedName name="_rdn1">#REF!</definedName>
    <definedName name="_ren1">#REF!</definedName>
    <definedName name="_rhn1">#REF!</definedName>
    <definedName name="_rin1">#REF!</definedName>
    <definedName name="_rjn1">#REF!</definedName>
    <definedName name="_rkn1">#REF!</definedName>
    <definedName name="_rln1">#REF!</definedName>
    <definedName name="_rpn1">#REF!</definedName>
    <definedName name="_rwn1">#REF!</definedName>
    <definedName name="_san1">#REF!</definedName>
    <definedName name="_scn1">#REF!</definedName>
    <definedName name="_sfc1">#REF!</definedName>
    <definedName name="_sfd1">#REF!</definedName>
    <definedName name="_sfn1">#REF!</definedName>
    <definedName name="_shn1">#REF!</definedName>
    <definedName name="_sic1">#REF!</definedName>
    <definedName name="_sid1">#REF!</definedName>
    <definedName name="_son1">#REF!</definedName>
    <definedName name="_Sort" localSheetId="1" hidden="1">#REF!</definedName>
    <definedName name="_Sort" localSheetId="2" hidden="1">#REF!</definedName>
    <definedName name="_Sort" hidden="1">#REF!</definedName>
    <definedName name="_Sortb" localSheetId="1" hidden="1">#REF!</definedName>
    <definedName name="_Sortb" localSheetId="2" hidden="1">#REF!</definedName>
    <definedName name="_Sortb" hidden="1">#REF!</definedName>
    <definedName name="_sqn1">#REF!</definedName>
    <definedName name="_srn1">#REF!</definedName>
    <definedName name="_ssn1">#REF!</definedName>
    <definedName name="_stn1">#REF!</definedName>
    <definedName name="_tan1">#REF!</definedName>
    <definedName name="_tbn1">#REF!</definedName>
    <definedName name="_tcn1">#REF!</definedName>
    <definedName name="_tdn1">#REF!</definedName>
    <definedName name="_ten1">#REF!</definedName>
    <definedName name="_tfn1">#REF!</definedName>
    <definedName name="_tgn1">#REF!</definedName>
    <definedName name="_thn1">#REF!</definedName>
    <definedName name="_tkn1">#REF!</definedName>
    <definedName name="_tln1">#REF!</definedName>
    <definedName name="_tnn1">#REF!</definedName>
    <definedName name="_tqn1">#REF!</definedName>
    <definedName name="_ttn1">#REF!</definedName>
    <definedName name="_twn1">#REF!</definedName>
    <definedName name="_uan1">#REF!</definedName>
    <definedName name="_ucn1">#REF!</definedName>
    <definedName name="_uen1">#REF!</definedName>
    <definedName name="_ufn1">#REF!</definedName>
    <definedName name="_uhn1">#REF!</definedName>
    <definedName name="_uln1">#REF!</definedName>
    <definedName name="_unn1">#REF!</definedName>
    <definedName name="_uon1">#REF!</definedName>
    <definedName name="_utn1">#REF!</definedName>
    <definedName name="a">#REF!</definedName>
    <definedName name="aa">#REF!</definedName>
    <definedName name="aab">#REF!</definedName>
    <definedName name="ab">#REF!</definedName>
    <definedName name="abc" localSheetId="1">#REF!</definedName>
    <definedName name="abc" localSheetId="2">#REF!</definedName>
    <definedName name="abc">#REF!</definedName>
    <definedName name="Accomodation">#REF!</definedName>
    <definedName name="Account">OFFSET(#REF!,0,0,COUNTA(#REF!),1)</definedName>
    <definedName name="Account_Category" localSheetId="1">#REF!</definedName>
    <definedName name="Account_Category" localSheetId="2">#REF!</definedName>
    <definedName name="Account_Category">#REF!</definedName>
    <definedName name="Account_Category_Description" localSheetId="1">#REF!</definedName>
    <definedName name="Account_Category_Description" localSheetId="2">#REF!</definedName>
    <definedName name="Account_Category_Description">#REF!</definedName>
    <definedName name="Activities">#REF!</definedName>
    <definedName name="activity">#REF!</definedName>
    <definedName name="Activity_List">OFFSET(#REF!,0,0,COUNTA(#REF!)-1)</definedName>
    <definedName name="actprinc">#REF!</definedName>
    <definedName name="Actuals" localSheetId="1">#REF!</definedName>
    <definedName name="Actuals" localSheetId="2">#REF!</definedName>
    <definedName name="Actuals">#REF!</definedName>
    <definedName name="Actuals2" localSheetId="1">#REF!</definedName>
    <definedName name="Actuals2" localSheetId="2">#REF!</definedName>
    <definedName name="Actuals2">#REF!</definedName>
    <definedName name="ACU">#REF!</definedName>
    <definedName name="ada">#REF!</definedName>
    <definedName name="adb">#REF!</definedName>
    <definedName name="adminfee">#REF!</definedName>
    <definedName name="adn">#REF!</definedName>
    <definedName name="adres">#REF!</definedName>
    <definedName name="adsf" localSheetId="1">#REF!</definedName>
    <definedName name="adsf" localSheetId="2">#REF!</definedName>
    <definedName name="adsf">#REF!</definedName>
    <definedName name="Advertising" localSheetId="1">#REF!</definedName>
    <definedName name="Advertising" localSheetId="2">#REF!</definedName>
    <definedName name="Advertising">#REF!</definedName>
    <definedName name="af">#REF!</definedName>
    <definedName name="AFRICA" localSheetId="1">#REF!</definedName>
    <definedName name="AFRICA" localSheetId="2">#REF!</definedName>
    <definedName name="AFRICA">#REF!</definedName>
    <definedName name="Aggregated_Project">#REF!</definedName>
    <definedName name="aia">#REF!</definedName>
    <definedName name="aib">#REF!</definedName>
    <definedName name="ain">#REF!</definedName>
    <definedName name="akfh" localSheetId="1">#REF!</definedName>
    <definedName name="akfh" localSheetId="2">#REF!</definedName>
    <definedName name="akfh">#REF!</definedName>
    <definedName name="akldfj" localSheetId="1">#REF!</definedName>
    <definedName name="akldfj" localSheetId="2">#REF!</definedName>
    <definedName name="akldfj">#REF!</definedName>
    <definedName name="amount">#REF!</definedName>
    <definedName name="amount_type">#REF!</definedName>
    <definedName name="amount2">#REF!</definedName>
    <definedName name="amts">#REF!</definedName>
    <definedName name="AprIndex">#REF!</definedName>
    <definedName name="aqb">#REF!</definedName>
    <definedName name="aug" localSheetId="1">#REF!</definedName>
    <definedName name="aug" localSheetId="2">#REF!</definedName>
    <definedName name="aug">#REF!</definedName>
    <definedName name="AugIndex">#REF!</definedName>
    <definedName name="avrent" localSheetId="1">#REF!</definedName>
    <definedName name="avrent" localSheetId="2">#REF!</definedName>
    <definedName name="avrent">#REF!</definedName>
    <definedName name="AWBN">#REF!</definedName>
    <definedName name="awnn">#REF!</definedName>
    <definedName name="axa">#REF!</definedName>
    <definedName name="axb">#REF!</definedName>
    <definedName name="aya">#REF!</definedName>
    <definedName name="ayb">#REF!</definedName>
    <definedName name="aza">#REF!</definedName>
    <definedName name="azb">#REF!</definedName>
    <definedName name="b">#REF!</definedName>
    <definedName name="ban">#REF!</definedName>
    <definedName name="BCAI">#REF!</definedName>
    <definedName name="bcn">#REF!</definedName>
    <definedName name="bdn">#REF!</definedName>
    <definedName name="ben">#REF!</definedName>
    <definedName name="bfd">#REF!</definedName>
    <definedName name="BFE">#REF!</definedName>
    <definedName name="bfn">#REF!</definedName>
    <definedName name="bhn">#REF!</definedName>
    <definedName name="bin">#REF!</definedName>
    <definedName name="bjn">#REF!</definedName>
    <definedName name="bkn">#REF!</definedName>
    <definedName name="BMGFMELIM1">#REF!</definedName>
    <definedName name="BMGFMELIM3">#REF!</definedName>
    <definedName name="bp">#REF!</definedName>
    <definedName name="BRate" localSheetId="1">#REF!</definedName>
    <definedName name="BRate" localSheetId="2">#REF!</definedName>
    <definedName name="BRate">#REF!</definedName>
    <definedName name="BRate2" localSheetId="1">#REF!</definedName>
    <definedName name="BRate2" localSheetId="2">#REF!</definedName>
    <definedName name="BRate2">#REF!</definedName>
    <definedName name="BRate40" localSheetId="1">#REF!</definedName>
    <definedName name="BRate40" localSheetId="2">#REF!</definedName>
    <definedName name="BRate40">#REF!</definedName>
    <definedName name="Brate40old" localSheetId="1">#REF!</definedName>
    <definedName name="Brate40old" localSheetId="2">#REF!</definedName>
    <definedName name="Brate40old">#REF!</definedName>
    <definedName name="BRate44" localSheetId="1">#REF!</definedName>
    <definedName name="BRate44" localSheetId="2">#REF!</definedName>
    <definedName name="BRate44">#REF!</definedName>
    <definedName name="Brate44old" localSheetId="1">#REF!</definedName>
    <definedName name="Brate44old" localSheetId="2">#REF!</definedName>
    <definedName name="Brate44old">#REF!</definedName>
    <definedName name="BRateOld" localSheetId="1">#REF!</definedName>
    <definedName name="BRateOld" localSheetId="2">#REF!</definedName>
    <definedName name="BRateOld">#REF!</definedName>
    <definedName name="BRateOld2" localSheetId="1">#REF!</definedName>
    <definedName name="BRateOld2" localSheetId="2">#REF!</definedName>
    <definedName name="BRateOld2">#REF!</definedName>
    <definedName name="BREER40" localSheetId="1">#REF!</definedName>
    <definedName name="BREER40" localSheetId="2">#REF!</definedName>
    <definedName name="BREER40">#REF!</definedName>
    <definedName name="BREER40Nurse" localSheetId="1">#REF!</definedName>
    <definedName name="BREER40Nurse" localSheetId="2">#REF!</definedName>
    <definedName name="BREER40Nurse">#REF!</definedName>
    <definedName name="BREER40NurseOld" localSheetId="1">#REF!</definedName>
    <definedName name="BREER40NurseOld" localSheetId="2">#REF!</definedName>
    <definedName name="BREER40NurseOld">#REF!</definedName>
    <definedName name="BREER40old" localSheetId="1">#REF!</definedName>
    <definedName name="BREER40old" localSheetId="2">#REF!</definedName>
    <definedName name="BREER40old">#REF!</definedName>
    <definedName name="BREER44" localSheetId="1">#REF!</definedName>
    <definedName name="BREER44" localSheetId="2">#REF!</definedName>
    <definedName name="BREER44">#REF!</definedName>
    <definedName name="BREER44old" localSheetId="1">#REF!</definedName>
    <definedName name="BREER44old" localSheetId="2">#REF!</definedName>
    <definedName name="BREER44old">#REF!</definedName>
    <definedName name="btn">#REF!</definedName>
    <definedName name="budget">#REF!</definedName>
    <definedName name="budget_revision">#REF!</definedName>
    <definedName name="BudgetName">#REF!</definedName>
    <definedName name="budgetYear">#REF!</definedName>
    <definedName name="bun">#REF!</definedName>
    <definedName name="By_Country">#REF!</definedName>
    <definedName name="bza">#REF!</definedName>
    <definedName name="bzb">#REF!</definedName>
    <definedName name="bzn">#REF!</definedName>
    <definedName name="cafg">#REF!</definedName>
    <definedName name="cafgn1">#REF!</definedName>
    <definedName name="Cameroon_UN">#REF!</definedName>
    <definedName name="Categories">#REF!</definedName>
    <definedName name="Categories2">#REF!</definedName>
    <definedName name="CATEGORY_TYPE_Summary" localSheetId="1">#REF!</definedName>
    <definedName name="CATEGORY_TYPE_Summary" localSheetId="2">#REF!</definedName>
    <definedName name="CATEGORY_TYPE_Summary">#REF!</definedName>
    <definedName name="CATH" localSheetId="1">#REF!</definedName>
    <definedName name="CATH" localSheetId="2">#REF!</definedName>
    <definedName name="CATH">#REF!</definedName>
    <definedName name="CD4_Platforms_used">#REF!</definedName>
    <definedName name="CDCFHAIT4">#REF!</definedName>
    <definedName name="cfaeur">#REF!</definedName>
    <definedName name="CHAIMeals">#REF!</definedName>
    <definedName name="change_adult_col" localSheetId="1">#REF!</definedName>
    <definedName name="change_adult_col" localSheetId="2">#REF!</definedName>
    <definedName name="change_adult_col">#REF!</definedName>
    <definedName name="change_adult_row" localSheetId="1">#REF!</definedName>
    <definedName name="change_adult_row" localSheetId="2">#REF!</definedName>
    <definedName name="change_adult_row">#REF!</definedName>
    <definedName name="change_adult_row_range" localSheetId="1">#REF!</definedName>
    <definedName name="change_adult_row_range" localSheetId="2">#REF!</definedName>
    <definedName name="change_adult_row_range">#REF!</definedName>
    <definedName name="change_trtfail_adult_col" localSheetId="1">#REF!</definedName>
    <definedName name="change_trtfail_adult_col" localSheetId="2">#REF!</definedName>
    <definedName name="change_trtfail_adult_col">#REF!</definedName>
    <definedName name="change_trtfail_adult_row" localSheetId="1">#REF!</definedName>
    <definedName name="change_trtfail_adult_row" localSheetId="2">#REF!</definedName>
    <definedName name="change_trtfail_adult_row">#REF!</definedName>
    <definedName name="change_trtfail_adult_row_range" localSheetId="1">#REF!</definedName>
    <definedName name="change_trtfail_adult_row_range" localSheetId="2">#REF!</definedName>
    <definedName name="change_trtfail_adult_row_range">#REF!</definedName>
    <definedName name="chn">#REF!</definedName>
    <definedName name="cin">#REF!</definedName>
    <definedName name="CIS" localSheetId="1">#REF!</definedName>
    <definedName name="CIS" localSheetId="2">#REF!</definedName>
    <definedName name="CIS">#REF!</definedName>
    <definedName name="Class" localSheetId="1">#REF!</definedName>
    <definedName name="Class" localSheetId="2">#REF!</definedName>
    <definedName name="Class">#REF!</definedName>
    <definedName name="Classification">#REF!</definedName>
    <definedName name="clinic_num_in_col" localSheetId="1">#REF!</definedName>
    <definedName name="clinic_num_in_col" localSheetId="2">#REF!</definedName>
    <definedName name="clinic_num_in_col">#REF!</definedName>
    <definedName name="clinic_num_in_row" localSheetId="1">#REF!</definedName>
    <definedName name="clinic_num_in_row" localSheetId="2">#REF!</definedName>
    <definedName name="clinic_num_in_row">#REF!</definedName>
    <definedName name="clinics_adult_col" localSheetId="1">#REF!</definedName>
    <definedName name="clinics_adult_col" localSheetId="2">#REF!</definedName>
    <definedName name="clinics_adult_col">#REF!</definedName>
    <definedName name="clinics_adult_num" localSheetId="1">#REF!</definedName>
    <definedName name="clinics_adult_num" localSheetId="2">#REF!</definedName>
    <definedName name="clinics_adult_num">#REF!</definedName>
    <definedName name="clinics_adult_row" localSheetId="1">#REF!</definedName>
    <definedName name="clinics_adult_row" localSheetId="2">#REF!</definedName>
    <definedName name="clinics_adult_row">#REF!</definedName>
    <definedName name="cmn">#REF!</definedName>
    <definedName name="CNC" localSheetId="1">#REF!</definedName>
    <definedName name="CNC" localSheetId="2">#REF!</definedName>
    <definedName name="CNC">#REF!</definedName>
    <definedName name="COA">#REF!</definedName>
    <definedName name="code">#REF!</definedName>
    <definedName name="codes">#REF!</definedName>
    <definedName name="cofunding_by_category">#REF!</definedName>
    <definedName name="Commodities" localSheetId="1">#REF!</definedName>
    <definedName name="Commodities" localSheetId="2">#REF!</definedName>
    <definedName name="Commodities">#REF!</definedName>
    <definedName name="Communication_Education" localSheetId="1">#REF!</definedName>
    <definedName name="Communication_Education" localSheetId="2">#REF!</definedName>
    <definedName name="Communication_Education">#REF!</definedName>
    <definedName name="Comp">#REF!</definedName>
    <definedName name="Company">#REF!</definedName>
    <definedName name="components" localSheetId="1">#REF!</definedName>
    <definedName name="components" localSheetId="2">#REF!</definedName>
    <definedName name="components">#REF!</definedName>
    <definedName name="Consultants">#REF!</definedName>
    <definedName name="cont">#REF!</definedName>
    <definedName name="Contingency">#REF!</definedName>
    <definedName name="Copy" localSheetId="1" hidden="1">#REF!</definedName>
    <definedName name="Copy" localSheetId="2" hidden="1">#REF!</definedName>
    <definedName name="Copy" hidden="1">#REF!</definedName>
    <definedName name="CorporateOverhead" localSheetId="1">#REF!</definedName>
    <definedName name="CorporateOverhead" localSheetId="2">#REF!</definedName>
    <definedName name="CorporateOverhead">#REF!</definedName>
    <definedName name="cost_assumption_sources" localSheetId="1">#REF!</definedName>
    <definedName name="cost_assumption_sources" localSheetId="2">#REF!</definedName>
    <definedName name="cost_assumption_sources">#REF!</definedName>
    <definedName name="CostCategories">#REF!</definedName>
    <definedName name="CostCategories2">#REF!</definedName>
    <definedName name="CostCategories3">#REF!</definedName>
    <definedName name="Costlist">#REF!</definedName>
    <definedName name="CostperKM">#REF!</definedName>
    <definedName name="Country" localSheetId="1">#REF!</definedName>
    <definedName name="Country" localSheetId="2">#REF!</definedName>
    <definedName name="Country">#REF!</definedName>
    <definedName name="country0_currency">#REF!</definedName>
    <definedName name="country0_dollarlc">#REF!</definedName>
    <definedName name="country1_currency">#REF!</definedName>
    <definedName name="country1_dollarlc">#REF!</definedName>
    <definedName name="country2_currency">#REF!</definedName>
    <definedName name="country2_dollarlc">#REF!</definedName>
    <definedName name="country3_currency">#REF!</definedName>
    <definedName name="country3_dollarlc">#REF!</definedName>
    <definedName name="country4_currency">#REF!</definedName>
    <definedName name="country4_dollarlc">#REF!</definedName>
    <definedName name="country5_currency">#REF!</definedName>
    <definedName name="country5_dollarlc">#REF!</definedName>
    <definedName name="country6_currency">#REF!</definedName>
    <definedName name="country6_dollarlc">#REF!</definedName>
    <definedName name="country7_currency">#REF!</definedName>
    <definedName name="country7_dollarlc">#REF!</definedName>
    <definedName name="country8_currency">#REF!</definedName>
    <definedName name="country8_dollarlc">#REF!</definedName>
    <definedName name="country9_currency">#REF!</definedName>
    <definedName name="country9_dollarlc">#REF!</definedName>
    <definedName name="Countrys">#REF!</definedName>
    <definedName name="cpn">#REF!</definedName>
    <definedName name="cpte" localSheetId="1">#REF!</definedName>
    <definedName name="cpte" localSheetId="2">#REF!</definedName>
    <definedName name="cpte">#REF!</definedName>
    <definedName name="cpte1">#REF!</definedName>
    <definedName name="cr">"COPYRIGTH © CAPRICE SARL  B.P. : 7523 DOUALA - CAMEROUN  TEL. : 237 950 57 37 / 237 750 15 67 / 237 343 12 52"</definedName>
    <definedName name="Current" localSheetId="1">#REF!</definedName>
    <definedName name="Current" localSheetId="2">#REF!</definedName>
    <definedName name="Current">#REF!</definedName>
    <definedName name="CurrentA">#REF!</definedName>
    <definedName name="CurrentB">#REF!</definedName>
    <definedName name="CZECH" localSheetId="1">#REF!</definedName>
    <definedName name="CZECH" localSheetId="2">#REF!</definedName>
    <definedName name="CZECH">#REF!</definedName>
    <definedName name="D">#REF!</definedName>
    <definedName name="dangerpay">#REF!</definedName>
    <definedName name="dangerpay.expat1">#REF!</definedName>
    <definedName name="dangerpay.expat10">#REF!</definedName>
    <definedName name="dangerpay.expat11">#REF!</definedName>
    <definedName name="dangerpay.expat12">#REF!</definedName>
    <definedName name="dangerpay.expat2">#REF!</definedName>
    <definedName name="dangerpay.expat3">#REF!</definedName>
    <definedName name="dangerpay.expat4">#REF!</definedName>
    <definedName name="dangerpay.expat5">#REF!</definedName>
    <definedName name="dangerpay.expat6">#REF!</definedName>
    <definedName name="dangerpay.expat7">#REF!</definedName>
    <definedName name="dangerpay.expat8">#REF!</definedName>
    <definedName name="dangerpay.expat9">#REF!</definedName>
    <definedName name="dangerpay.intlstaff1">#REF!</definedName>
    <definedName name="dangerpay.intlstaff10">#REF!</definedName>
    <definedName name="dangerpay.intlstaff11">#REF!</definedName>
    <definedName name="dangerpay.intlstaff12">#REF!</definedName>
    <definedName name="dangerpay.intlstaff13">#REF!</definedName>
    <definedName name="dangerpay.intlstaff14">#REF!</definedName>
    <definedName name="dangerpay.intlstaff15">#REF!</definedName>
    <definedName name="dangerpay.intlstaff2">#REF!</definedName>
    <definedName name="dangerpay.intlstaff3">#REF!</definedName>
    <definedName name="dangerpay.intlstaff4">#REF!</definedName>
    <definedName name="dangerpay.intlstaff5">#REF!</definedName>
    <definedName name="dangerpay.intlstaff6">#REF!</definedName>
    <definedName name="dangerpay.intlstaff7">#REF!</definedName>
    <definedName name="dangerpay.intlstaff8">#REF!</definedName>
    <definedName name="dangerpay.intlstaff9">#REF!</definedName>
    <definedName name="dangerpay.researcher">#REF!</definedName>
    <definedName name="date_range">#REF!</definedName>
    <definedName name="Date_Table">#REF!</definedName>
    <definedName name="daterange">#REF!</definedName>
    <definedName name="daterange2">#REF!</definedName>
    <definedName name="ddwedewdx3wed" localSheetId="1">#REF!</definedName>
    <definedName name="ddwedewdx3wed" localSheetId="2">#REF!</definedName>
    <definedName name="ddwedewdx3wed">#REF!</definedName>
    <definedName name="dec" localSheetId="1">#REF!</definedName>
    <definedName name="dec" localSheetId="2">#REF!</definedName>
    <definedName name="dec">#REF!</definedName>
    <definedName name="DecIndex">#REF!</definedName>
    <definedName name="den">#REF!</definedName>
    <definedName name="detailed" localSheetId="1">#REF!</definedName>
    <definedName name="detailed" localSheetId="2">#REF!</definedName>
    <definedName name="detailed">#REF!</definedName>
    <definedName name="dexo">#REF!</definedName>
    <definedName name="df" localSheetId="1">#REF!</definedName>
    <definedName name="df" localSheetId="2">#REF!</definedName>
    <definedName name="df">#REF!</definedName>
    <definedName name="DFIDACCESS4">#REF!</definedName>
    <definedName name="dflk" localSheetId="1">#REF!</definedName>
    <definedName name="dflk" localSheetId="2">#REF!</definedName>
    <definedName name="dflk">#REF!</definedName>
    <definedName name="dfn">#REF!</definedName>
    <definedName name="dhn">#REF!</definedName>
    <definedName name="din">#REF!</definedName>
    <definedName name="Direct" localSheetId="1">#REF!</definedName>
    <definedName name="Direct" localSheetId="2">#REF!</definedName>
    <definedName name="Direct">#REF!</definedName>
    <definedName name="DirectStaffCosts" localSheetId="1">#REF!</definedName>
    <definedName name="DirectStaffCosts" localSheetId="2">#REF!</definedName>
    <definedName name="DirectStaffCosts">#REF!</definedName>
    <definedName name="DistrictEventAccommodation">#REF!</definedName>
    <definedName name="DistrictFTDinnerRateA">#REF!</definedName>
    <definedName name="djn">#REF!</definedName>
    <definedName name="dkn">#REF!</definedName>
    <definedName name="dln">#REF!</definedName>
    <definedName name="dmn">#REF!</definedName>
    <definedName name="DollarLC">#REF!</definedName>
    <definedName name="Donor_Status" localSheetId="1">#REF!</definedName>
    <definedName name="Donor_Status" localSheetId="2">#REF!</definedName>
    <definedName name="Donor_Status">#REF!</definedName>
    <definedName name="Donors" localSheetId="1">#REF!</definedName>
    <definedName name="Donors" localSheetId="2">#REF!</definedName>
    <definedName name="Donors">#REF!</definedName>
    <definedName name="dpn">#REF!</definedName>
    <definedName name="DriverDailyAllowance">#REF!</definedName>
    <definedName name="DriverOvernightAllowance">#REF!</definedName>
    <definedName name="drug_2nd_col" localSheetId="1">#REF!</definedName>
    <definedName name="drug_2nd_col" localSheetId="2">#REF!</definedName>
    <definedName name="drug_2nd_col">#REF!</definedName>
    <definedName name="drug_2nd_col_range" localSheetId="1">#REF!</definedName>
    <definedName name="drug_2nd_col_range" localSheetId="2">#REF!</definedName>
    <definedName name="drug_2nd_col_range">#REF!</definedName>
    <definedName name="drug_2nd_row" localSheetId="1">#REF!</definedName>
    <definedName name="drug_2nd_row" localSheetId="2">#REF!</definedName>
    <definedName name="drug_2nd_row">#REF!</definedName>
    <definedName name="drug_adult_in_col" localSheetId="1">#REF!</definedName>
    <definedName name="drug_adult_in_col" localSheetId="2">#REF!</definedName>
    <definedName name="drug_adult_in_col">#REF!</definedName>
    <definedName name="drug_adult_in_row" localSheetId="1">#REF!</definedName>
    <definedName name="drug_adult_in_row" localSheetId="2">#REF!</definedName>
    <definedName name="drug_adult_in_row">#REF!</definedName>
    <definedName name="drug_adult_in_row_range" localSheetId="1">#REF!</definedName>
    <definedName name="drug_adult_in_row_range" localSheetId="2">#REF!</definedName>
    <definedName name="drug_adult_in_row_range">#REF!</definedName>
    <definedName name="drug_adult_proj_col" localSheetId="1">#REF!</definedName>
    <definedName name="drug_adult_proj_col" localSheetId="2">#REF!</definedName>
    <definedName name="drug_adult_proj_col">#REF!</definedName>
    <definedName name="drug_adult_proj_row" localSheetId="1">#REF!</definedName>
    <definedName name="drug_adult_proj_row" localSheetId="2">#REF!</definedName>
    <definedName name="drug_adult_proj_row">#REF!</definedName>
    <definedName name="drug_adult_proj_row_range" localSheetId="1">#REF!</definedName>
    <definedName name="drug_adult_proj_row_range" localSheetId="2">#REF!</definedName>
    <definedName name="drug_adult_proj_row_range">#REF!</definedName>
    <definedName name="drug_adult_stock_col" localSheetId="1">#REF!</definedName>
    <definedName name="drug_adult_stock_col" localSheetId="2">#REF!</definedName>
    <definedName name="drug_adult_stock_col">#REF!</definedName>
    <definedName name="drug_adult_stock_col_range" localSheetId="1">#REF!</definedName>
    <definedName name="drug_adult_stock_col_range" localSheetId="2">#REF!</definedName>
    <definedName name="drug_adult_stock_col_range">#REF!</definedName>
    <definedName name="drug_adult_stock_row" localSheetId="1">#REF!</definedName>
    <definedName name="drug_adult_stock_row" localSheetId="2">#REF!</definedName>
    <definedName name="drug_adult_stock_row">#REF!</definedName>
    <definedName name="drug_adult_stock_row_range" localSheetId="1">#REF!</definedName>
    <definedName name="drug_adult_stock_row_range" localSheetId="2">#REF!</definedName>
    <definedName name="drug_adult_stock_row_range">#REF!</definedName>
    <definedName name="drug_comb_output_col" localSheetId="1">#REF!</definedName>
    <definedName name="drug_comb_output_col" localSheetId="2">#REF!</definedName>
    <definedName name="drug_comb_output_col">#REF!</definedName>
    <definedName name="drug_comb_output_col_range" localSheetId="1">#REF!</definedName>
    <definedName name="drug_comb_output_col_range" localSheetId="2">#REF!</definedName>
    <definedName name="drug_comb_output_col_range">#REF!</definedName>
    <definedName name="drug_comb_output_row" localSheetId="1">#REF!</definedName>
    <definedName name="drug_comb_output_row" localSheetId="2">#REF!</definedName>
    <definedName name="drug_comb_output_row">#REF!</definedName>
    <definedName name="drug_comb_proj_col" localSheetId="1">#REF!</definedName>
    <definedName name="drug_comb_proj_col" localSheetId="2">#REF!</definedName>
    <definedName name="drug_comb_proj_col">#REF!</definedName>
    <definedName name="drug_comb_proj_col_range" localSheetId="1">#REF!</definedName>
    <definedName name="drug_comb_proj_col_range" localSheetId="2">#REF!</definedName>
    <definedName name="drug_comb_proj_col_range">#REF!</definedName>
    <definedName name="drug_comb_proj_row" localSheetId="1">#REF!</definedName>
    <definedName name="drug_comb_proj_row" localSheetId="2">#REF!</definedName>
    <definedName name="drug_comb_proj_row">#REF!</definedName>
    <definedName name="drug_peds_in_col" localSheetId="1">#REF!</definedName>
    <definedName name="drug_peds_in_col" localSheetId="2">#REF!</definedName>
    <definedName name="drug_peds_in_col">#REF!</definedName>
    <definedName name="drug_peds_in_row" localSheetId="1">#REF!</definedName>
    <definedName name="drug_peds_in_row" localSheetId="2">#REF!</definedName>
    <definedName name="drug_peds_in_row">#REF!</definedName>
    <definedName name="drug_peds_in_row_range" localSheetId="1">#REF!</definedName>
    <definedName name="drug_peds_in_row_range" localSheetId="2">#REF!</definedName>
    <definedName name="drug_peds_in_row_range">#REF!</definedName>
    <definedName name="drug_peds_proj_col" localSheetId="1">#REF!</definedName>
    <definedName name="drug_peds_proj_col" localSheetId="2">#REF!</definedName>
    <definedName name="drug_peds_proj_col">#REF!</definedName>
    <definedName name="drug_peds_proj_row" localSheetId="1">#REF!</definedName>
    <definedName name="drug_peds_proj_row" localSheetId="2">#REF!</definedName>
    <definedName name="drug_peds_proj_row">#REF!</definedName>
    <definedName name="drug_peds_proj_row_range" localSheetId="1">#REF!</definedName>
    <definedName name="drug_peds_proj_row_range" localSheetId="2">#REF!</definedName>
    <definedName name="drug_peds_proj_row_range">#REF!</definedName>
    <definedName name="drug_peds_stock_col" localSheetId="1">#REF!</definedName>
    <definedName name="drug_peds_stock_col" localSheetId="2">#REF!</definedName>
    <definedName name="drug_peds_stock_col">#REF!</definedName>
    <definedName name="drug_peds_stock_col_range" localSheetId="1">#REF!</definedName>
    <definedName name="drug_peds_stock_col_range" localSheetId="2">#REF!</definedName>
    <definedName name="drug_peds_stock_col_range">#REF!</definedName>
    <definedName name="drug_peds_stock_row" localSheetId="1">#REF!</definedName>
    <definedName name="drug_peds_stock_row" localSheetId="2">#REF!</definedName>
    <definedName name="drug_peds_stock_row">#REF!</definedName>
    <definedName name="drug1" localSheetId="1">#REF!</definedName>
    <definedName name="drug1" localSheetId="2">#REF!</definedName>
    <definedName name="drug1">#REF!</definedName>
    <definedName name="drugs" localSheetId="1">#REF!</definedName>
    <definedName name="drugs" localSheetId="2">#REF!</definedName>
    <definedName name="drugs">#REF!</definedName>
    <definedName name="dtn">#REF!</definedName>
    <definedName name="dun">#REF!</definedName>
    <definedName name="dzn">#REF!</definedName>
    <definedName name="Economy" localSheetId="1">#REF!</definedName>
    <definedName name="Economy" localSheetId="2">#REF!</definedName>
    <definedName name="Economy">#REF!</definedName>
    <definedName name="eduallowance">#REF!</definedName>
    <definedName name="eduallowance.expat1">#REF!</definedName>
    <definedName name="eduallowance.expat10">#REF!</definedName>
    <definedName name="eduallowance.expat11">#REF!</definedName>
    <definedName name="eduallowance.expat12">#REF!</definedName>
    <definedName name="eduallowance.expat2">#REF!</definedName>
    <definedName name="eduallowance.expat3">#REF!</definedName>
    <definedName name="eduallowance.expat4">#REF!</definedName>
    <definedName name="eduallowance.expat5">#REF!</definedName>
    <definedName name="eduallowance.expat6">#REF!</definedName>
    <definedName name="eduallowance.expat7">#REF!</definedName>
    <definedName name="eduallowance.expat8">#REF!</definedName>
    <definedName name="eduallowance.expat9">#REF!</definedName>
    <definedName name="eduallowance.intlstaff2">#REF!</definedName>
    <definedName name="eduallowance.intlstaff3">#REF!</definedName>
    <definedName name="eduallowance.intlstaff4">#REF!</definedName>
    <definedName name="eduallowance.researcher">#REF!</definedName>
    <definedName name="education.intlstaff1">#REF!</definedName>
    <definedName name="education.intlstaff10">#REF!</definedName>
    <definedName name="education.intlstaff11">#REF!</definedName>
    <definedName name="education.intlstaff12">#REF!</definedName>
    <definedName name="education.intlstaff13">#REF!</definedName>
    <definedName name="education.intlstaff14">#REF!</definedName>
    <definedName name="education.intlstaff15">#REF!</definedName>
    <definedName name="education.intlstaff2">#REF!</definedName>
    <definedName name="education.intlstaff3">#REF!</definedName>
    <definedName name="education.intlstaff4">#REF!</definedName>
    <definedName name="education.intlstaff5">#REF!</definedName>
    <definedName name="education.intlstaff6">#REF!</definedName>
    <definedName name="education.intlstaff7">#REF!</definedName>
    <definedName name="education.intlstaff8">#REF!</definedName>
    <definedName name="education.intlstaff9">#REF!</definedName>
    <definedName name="EMPTY" localSheetId="1">#REF!</definedName>
    <definedName name="EMPTY" localSheetId="2">#REF!</definedName>
    <definedName name="EMPTY">#REF!</definedName>
    <definedName name="end_date">#REF!</definedName>
    <definedName name="end_period_1">#REF!</definedName>
    <definedName name="end_period_10">#REF!</definedName>
    <definedName name="end_period_2">#REF!</definedName>
    <definedName name="end_period_3">#REF!</definedName>
    <definedName name="end_period_4">#REF!</definedName>
    <definedName name="end_period_5">#REF!</definedName>
    <definedName name="end_period_6">#REF!</definedName>
    <definedName name="end_period_7">#REF!</definedName>
    <definedName name="end_period_8">#REF!</definedName>
    <definedName name="end_period_9">#REF!</definedName>
    <definedName name="er" localSheetId="1">#REF!</definedName>
    <definedName name="er" localSheetId="2">#REF!</definedName>
    <definedName name="er">#REF!</definedName>
    <definedName name="Eswatini_UN">#REF!</definedName>
    <definedName name="Exchange">#REF!</definedName>
    <definedName name="ExchangeRate">#REF!</definedName>
    <definedName name="exo">#REF!</definedName>
    <definedName name="exp" localSheetId="1">#REF!</definedName>
    <definedName name="exp" localSheetId="2">#REF!</definedName>
    <definedName name="exp">#REF!</definedName>
    <definedName name="exp_adult_stock_col" localSheetId="1">#REF!</definedName>
    <definedName name="exp_adult_stock_col" localSheetId="2">#REF!</definedName>
    <definedName name="exp_adult_stock_col">#REF!</definedName>
    <definedName name="exp_adult_stock_col_range" localSheetId="1">#REF!</definedName>
    <definedName name="exp_adult_stock_col_range" localSheetId="2">#REF!</definedName>
    <definedName name="exp_adult_stock_col_range">#REF!</definedName>
    <definedName name="exp_adult_stock_row" localSheetId="1">#REF!</definedName>
    <definedName name="exp_adult_stock_row" localSheetId="2">#REF!</definedName>
    <definedName name="exp_adult_stock_row">#REF!</definedName>
    <definedName name="exp_peds_stock_col_range" localSheetId="1">#REF!</definedName>
    <definedName name="exp_peds_stock_col_range" localSheetId="2">#REF!</definedName>
    <definedName name="exp_peds_stock_col_range">#REF!</definedName>
    <definedName name="exphoriz_adult_stock_col" localSheetId="1">#REF!</definedName>
    <definedName name="exphoriz_adult_stock_col" localSheetId="2">#REF!</definedName>
    <definedName name="exphoriz_adult_stock_col">#REF!</definedName>
    <definedName name="exphoriz_adult_stock_row" localSheetId="1">#REF!</definedName>
    <definedName name="exphoriz_adult_stock_row" localSheetId="2">#REF!</definedName>
    <definedName name="exphoriz_adult_stock_row">#REF!</definedName>
    <definedName name="expstdt_adult_stock_col" localSheetId="1">#REF!</definedName>
    <definedName name="expstdt_adult_stock_col" localSheetId="2">#REF!</definedName>
    <definedName name="expstdt_adult_stock_col">#REF!</definedName>
    <definedName name="expstdt_adult_stock_row" localSheetId="1">#REF!</definedName>
    <definedName name="expstdt_adult_stock_row" localSheetId="2">#REF!</definedName>
    <definedName name="expstdt_adult_stock_row">#REF!</definedName>
    <definedName name="expstdtyn_adult_stock_col" localSheetId="1">#REF!</definedName>
    <definedName name="expstdtyn_adult_stock_col" localSheetId="2">#REF!</definedName>
    <definedName name="expstdtyn_adult_stock_col">#REF!</definedName>
    <definedName name="expstdtyn_adult_stock_row" localSheetId="1">#REF!</definedName>
    <definedName name="expstdtyn_adult_stock_row" localSheetId="2">#REF!</definedName>
    <definedName name="expstdtyn_adult_stock_row">#REF!</definedName>
    <definedName name="exptsnum_adult_in_col" localSheetId="1">#REF!</definedName>
    <definedName name="exptsnum_adult_in_col" localSheetId="2">#REF!</definedName>
    <definedName name="exptsnum_adult_in_col">#REF!</definedName>
    <definedName name="exptsnum_adult_in_row" localSheetId="1">#REF!</definedName>
    <definedName name="exptsnum_adult_in_row" localSheetId="2">#REF!</definedName>
    <definedName name="exptsnum_adult_in_row">#REF!</definedName>
    <definedName name="exptsnum_peds_in_col" localSheetId="1">#REF!</definedName>
    <definedName name="exptsnum_peds_in_col" localSheetId="2">#REF!</definedName>
    <definedName name="exptsnum_peds_in_col">#REF!</definedName>
    <definedName name="exptsnum_peds_in_row" localSheetId="1">#REF!</definedName>
    <definedName name="exptsnum_peds_in_row" localSheetId="2">#REF!</definedName>
    <definedName name="exptsnum_peds_in_row">#REF!</definedName>
    <definedName name="falg" localSheetId="1" hidden="1">{"Yr1",#N/A,FALSE,"Budget Detail";"Yr2",#N/A,FALSE,"Budget Detail";"Yr3",#N/A,FALSE,"Budget Detail";"Yr4",#N/A,FALSE,"Budget Detail";"Yr5",#N/A,FALSE,"Budget Detail";"Total",#N/A,FALSE,"Budget Detail"}</definedName>
    <definedName name="falg" localSheetId="2" hidden="1">{"Yr1",#N/A,FALSE,"Budget Detail";"Yr2",#N/A,FALSE,"Budget Detail";"Yr3",#N/A,FALSE,"Budget Detail";"Yr4",#N/A,FALSE,"Budget Detail";"Yr5",#N/A,FALSE,"Budget Detail";"Total",#N/A,FALSE,"Budget Detail"}</definedName>
    <definedName name="falg" hidden="1">{"Yr1",#N/A,FALSE,"Budget Detail";"Yr2",#N/A,FALSE,"Budget Detail";"Yr3",#N/A,FALSE,"Budget Detail";"Yr4",#N/A,FALSE,"Budget Detail";"Yr5",#N/A,FALSE,"Budget Detail";"Total",#N/A,FALSE,"Budget Detail"}</definedName>
    <definedName name="FAN">#REF!</definedName>
    <definedName name="FBEN">#REF!</definedName>
    <definedName name="FBRN">#REF!</definedName>
    <definedName name="FCEN">#REF!</definedName>
    <definedName name="FCRN">#REF!</definedName>
    <definedName name="FDEN">#REF!</definedName>
    <definedName name="FDRN">#REF!</definedName>
    <definedName name="FebIndex">#REF!</definedName>
    <definedName name="fexo">#REF!</definedName>
    <definedName name="FGEN">#REF!</definedName>
    <definedName name="FGRN">#REF!</definedName>
    <definedName name="fien">#REF!</definedName>
    <definedName name="final">#REF!</definedName>
    <definedName name="firn">#REF!</definedName>
    <definedName name="First">#REF!</definedName>
    <definedName name="FixedFee">#REF!</definedName>
    <definedName name="fjen">#REF!</definedName>
    <definedName name="fken">#REF!</definedName>
    <definedName name="fkrn">#REF!</definedName>
    <definedName name="flag" localSheetId="1" hidden="1">{"Yr1",#N/A,FALSE,"Budget Detail";"Yr2",#N/A,FALSE,"Budget Detail";"Yr3",#N/A,FALSE,"Budget Detail";"Yr4",#N/A,FALSE,"Budget Detail";"Yr5",#N/A,FALSE,"Budget Detail";"Total",#N/A,FALSE,"Budget Detail"}</definedName>
    <definedName name="flag" localSheetId="2" hidden="1">{"Yr1",#N/A,FALSE,"Budget Detail";"Yr2",#N/A,FALSE,"Budget Detail";"Yr3",#N/A,FALSE,"Budget Detail";"Yr4",#N/A,FALSE,"Budget Detail";"Yr5",#N/A,FALSE,"Budget Detail";"Total",#N/A,FALSE,"Budget Detail"}</definedName>
    <definedName name="flag" hidden="1">{"Yr1",#N/A,FALSE,"Budget Detail";"Yr2",#N/A,FALSE,"Budget Detail";"Yr3",#N/A,FALSE,"Budget Detail";"Yr4",#N/A,FALSE,"Budget Detail";"Yr5",#N/A,FALSE,"Budget Detail";"Total",#N/A,FALSE,"Budget Detail"}</definedName>
    <definedName name="flen">#REF!</definedName>
    <definedName name="Flexibility">#REF!</definedName>
    <definedName name="flrn">#REF!</definedName>
    <definedName name="fmrn">#REF!</definedName>
    <definedName name="fnrn">#REF!</definedName>
    <definedName name="fobplus">#REF!</definedName>
    <definedName name="Forecast" localSheetId="1">#REF!</definedName>
    <definedName name="Forecast" localSheetId="2">#REF!</definedName>
    <definedName name="Forecast">#REF!</definedName>
    <definedName name="foreigntransferallowance">#REF!</definedName>
    <definedName name="fpen">#REF!</definedName>
    <definedName name="fqen">#REF!</definedName>
    <definedName name="fqrn">#REF!</definedName>
    <definedName name="fren">#REF!</definedName>
    <definedName name="fringetype">OFFSET(#REF!,0,0,COUNTA(#REF!),1)</definedName>
    <definedName name="frrn">#REF!</definedName>
    <definedName name="fsen">#REF!</definedName>
    <definedName name="fsrn">#REF!</definedName>
    <definedName name="ften">#REF!</definedName>
    <definedName name="FTEs" localSheetId="1">#REF!</definedName>
    <definedName name="FTEs" localSheetId="2">#REF!</definedName>
    <definedName name="FTEs">#REF!</definedName>
    <definedName name="fu">#REF!</definedName>
    <definedName name="FuelCost">#REF!</definedName>
    <definedName name="Fund">OFFSET(#REF!,0,0,COUNTA(#REF!),1)</definedName>
    <definedName name="fund_range">#REF!</definedName>
    <definedName name="Funding_Sources">#REF!</definedName>
    <definedName name="Funding_Status" localSheetId="1">#REF!</definedName>
    <definedName name="Funding_Status" localSheetId="2">#REF!</definedName>
    <definedName name="Funding_Status">#REF!</definedName>
    <definedName name="Funding2">#REF!</definedName>
    <definedName name="fundlist3">#REF!</definedName>
    <definedName name="fundrange">#REF!</definedName>
    <definedName name="fundrange2">#REF!</definedName>
    <definedName name="FundsSent" localSheetId="1">#REF!</definedName>
    <definedName name="FundsSent" localSheetId="2">#REF!</definedName>
    <definedName name="FundsSent">#REF!</definedName>
    <definedName name="Furniture" localSheetId="1">#REF!</definedName>
    <definedName name="Furniture" localSheetId="2">#REF!</definedName>
    <definedName name="Furniture">#REF!</definedName>
    <definedName name="Future_ProjectYear" localSheetId="1">#REF!</definedName>
    <definedName name="Future_ProjectYear" localSheetId="2">#REF!</definedName>
    <definedName name="Future_ProjectYear">#REF!</definedName>
    <definedName name="fv">#REF!</definedName>
    <definedName name="FW">#REF!</definedName>
    <definedName name="fwe">#REF!</definedName>
    <definedName name="fwr">#REF!</definedName>
    <definedName name="FX_Rate">#REF!</definedName>
    <definedName name="fxrate">#REF!</definedName>
    <definedName name="FY" localSheetId="1">#REF!</definedName>
    <definedName name="FY" localSheetId="2">#REF!</definedName>
    <definedName name="FY">#REF!</definedName>
    <definedName name="FYB">#REF!</definedName>
    <definedName name="GHS" localSheetId="1">#REF!</definedName>
    <definedName name="GHS" localSheetId="2">#REF!</definedName>
    <definedName name="GHS">#REF!</definedName>
    <definedName name="Grant">#REF!</definedName>
    <definedName name="Grant_Status" localSheetId="1">#REF!</definedName>
    <definedName name="Grant_Status" localSheetId="2">#REF!</definedName>
    <definedName name="Grant_Status">#REF!</definedName>
    <definedName name="Grant_Type" localSheetId="1">#REF!</definedName>
    <definedName name="Grant_Type" localSheetId="2">#REF!</definedName>
    <definedName name="Grant_Type">#REF!</definedName>
    <definedName name="HCN_Staff" localSheetId="1">#REF!</definedName>
    <definedName name="HCN_Staff" localSheetId="2">#REF!</definedName>
    <definedName name="HCN_Staff">#REF!</definedName>
    <definedName name="Header1" localSheetId="1" hidden="1">IF(COUNTA(#REF!)=0,0,INDEX(#REF!,MATCH(ROW(#REF!),#REF!,TRUE)))+1</definedName>
    <definedName name="Header1" localSheetId="2" hidden="1">IF(COUNTA(#REF!)=0,0,INDEX(#REF!,MATCH(ROW(#REF!),#REF!,TRUE)))+1</definedName>
    <definedName name="Header1" hidden="1">IF(COUNTA(#REF!)=0,0,INDEX(#REF!,MATCH(ROW(#REF!),#REF!,TRUE)))+1</definedName>
    <definedName name="Header2" localSheetId="1" hidden="1">#REF!-1 &amp; "." &amp; MAX(1,COUNTA(INDEX(#REF!,MATCH(#REF!-1,#REF!,FALSE)):#REF!))</definedName>
    <definedName name="Header2" localSheetId="2" hidden="1">#REF!-1 &amp; "." &amp; MAX(1,COUNTA(INDEX(#REF!,MATCH(#REF!-1,#REF!,FALSE)):#REF!))</definedName>
    <definedName name="Header2" hidden="1">#REF!-1 &amp; "." &amp; MAX(1,COUNTA(INDEX(#REF!,MATCH(#REF!-1,#REF!,FALSE)):#REF!))</definedName>
    <definedName name="HealthCommodities" localSheetId="1">#REF!</definedName>
    <definedName name="HealthCommodities" localSheetId="2">#REF!</definedName>
    <definedName name="HealthCommodities">#REF!</definedName>
    <definedName name="Historical">#REF!</definedName>
    <definedName name="HIV" localSheetId="1">#REF!</definedName>
    <definedName name="HIV" localSheetId="2">#REF!</definedName>
    <definedName name="HIV">#REF!</definedName>
    <definedName name="House40" localSheetId="1">#REF!</definedName>
    <definedName name="House40" localSheetId="2">#REF!</definedName>
    <definedName name="House40">#REF!</definedName>
    <definedName name="House40EER" localSheetId="1">#REF!</definedName>
    <definedName name="House40EER" localSheetId="2">#REF!</definedName>
    <definedName name="House40EER">#REF!</definedName>
    <definedName name="House40EERold" localSheetId="1">#REF!</definedName>
    <definedName name="House40EERold" localSheetId="2">#REF!</definedName>
    <definedName name="House40EERold">#REF!</definedName>
    <definedName name="House40old" localSheetId="1">#REF!</definedName>
    <definedName name="House40old" localSheetId="2">#REF!</definedName>
    <definedName name="House40old">#REF!</definedName>
    <definedName name="House44" localSheetId="1">#REF!</definedName>
    <definedName name="House44" localSheetId="2">#REF!</definedName>
    <definedName name="House44">#REF!</definedName>
    <definedName name="House44EER" localSheetId="1">#REF!</definedName>
    <definedName name="House44EER" localSheetId="2">#REF!</definedName>
    <definedName name="House44EER">#REF!</definedName>
    <definedName name="House44EERold" localSheetId="1">#REF!</definedName>
    <definedName name="House44EERold" localSheetId="2">#REF!</definedName>
    <definedName name="House44EERold">#REF!</definedName>
    <definedName name="House44old" localSheetId="1">#REF!</definedName>
    <definedName name="House44old" localSheetId="2">#REF!</definedName>
    <definedName name="House44old">#REF!</definedName>
    <definedName name="HSS" localSheetId="1">#REF!</definedName>
    <definedName name="HSS" localSheetId="2">#REF!</definedName>
    <definedName name="HSS">#REF!</definedName>
    <definedName name="HTML_Control" localSheetId="1">{"'Sheet1'!$A$1:$O$32"}</definedName>
    <definedName name="HTML_Control" localSheetId="2">{"'Sheet1'!$A$1:$O$32"}</definedName>
    <definedName name="HTML_Control">{"'Sheet1'!$A$1:$O$32"}</definedName>
    <definedName name="ICR_Admin">#REF!</definedName>
    <definedName name="ICR_procurement">#REF!</definedName>
    <definedName name="ICR_Sub">#REF!</definedName>
    <definedName name="ID" localSheetId="1">#REF!</definedName>
    <definedName name="ID" localSheetId="2">#REF!</definedName>
    <definedName name="ID">#REF!</definedName>
    <definedName name="IDC_primary">#REF!</definedName>
    <definedName name="IDC_sub">#REF!</definedName>
    <definedName name="IDS">#REF!</definedName>
    <definedName name="imf">#REF!</definedName>
    <definedName name="Income_Alloc" localSheetId="1">#REF!</definedName>
    <definedName name="Income_Alloc" localSheetId="2">#REF!</definedName>
    <definedName name="Income_Alloc">#REF!</definedName>
    <definedName name="Income_Matrix" localSheetId="1">#REF!</definedName>
    <definedName name="Income_Matrix" localSheetId="2">#REF!</definedName>
    <definedName name="Income_Matrix">#REF!</definedName>
    <definedName name="Income_Tab_GIDs" localSheetId="1">#REF!</definedName>
    <definedName name="Income_Tab_GIDs" localSheetId="2">#REF!</definedName>
    <definedName name="Income_Tab_GIDs">#REF!</definedName>
    <definedName name="Incoterm">#REF!</definedName>
    <definedName name="IncountrySupportCosts" localSheetId="1">#REF!</definedName>
    <definedName name="IncountrySupportCosts" localSheetId="2">#REF!</definedName>
    <definedName name="IncountrySupportCosts">#REF!</definedName>
    <definedName name="Indirect" localSheetId="1">#REF!</definedName>
    <definedName name="Indirect" localSheetId="2">#REF!</definedName>
    <definedName name="Indirect">#REF!</definedName>
    <definedName name="IndirectStaffCosts" localSheetId="1">#REF!</definedName>
    <definedName name="IndirectStaffCosts" localSheetId="2">#REF!</definedName>
    <definedName name="IndirectStaffCosts">#REF!</definedName>
    <definedName name="InitialSetup" localSheetId="1">#REF!</definedName>
    <definedName name="InitialSetup" localSheetId="2">#REF!</definedName>
    <definedName name="InitialSetup">#REF!</definedName>
    <definedName name="Intlfringe">#REF!</definedName>
    <definedName name="IPMA">#REF!</definedName>
    <definedName name="JanIndex">#REF!</definedName>
    <definedName name="JanuaryA">#REF!</definedName>
    <definedName name="JanuaryB">#REF!</definedName>
    <definedName name="JJJJJJJJJJJJJJJJJJJJJJJJJJJJJJJJ" localSheetId="1">#REF!</definedName>
    <definedName name="JJJJJJJJJJJJJJJJJJJJJJJJJJJJJJJJ" localSheetId="2">#REF!</definedName>
    <definedName name="JJJJJJJJJJJJJJJJJJJJJJJJJJJJJJJJ">#REF!</definedName>
    <definedName name="jul" localSheetId="1">#REF!</definedName>
    <definedName name="jul" localSheetId="2">#REF!</definedName>
    <definedName name="jul">#REF!</definedName>
    <definedName name="JulIndex">#REF!</definedName>
    <definedName name="jun" localSheetId="1">#REF!</definedName>
    <definedName name="jun" localSheetId="2">#REF!</definedName>
    <definedName name="jun">#REF!</definedName>
    <definedName name="JunIndex">#REF!</definedName>
    <definedName name="Kenya_UN">#REF!</definedName>
    <definedName name="LAB_TYPE" localSheetId="1">#REF!</definedName>
    <definedName name="LAB_TYPE" localSheetId="2">#REF!</definedName>
    <definedName name="LAB_TYPE">#REF!</definedName>
    <definedName name="lak" localSheetId="1">#REF!</definedName>
    <definedName name="lak" localSheetId="2">#REF!</definedName>
    <definedName name="lak">#REF!</definedName>
    <definedName name="lalkdf" localSheetId="1">#REF!</definedName>
    <definedName name="lalkdf" localSheetId="2">#REF!</definedName>
    <definedName name="lalkdf">#REF!</definedName>
    <definedName name="Last">#REF!</definedName>
    <definedName name="LawsonColumn">#REF!</definedName>
    <definedName name="LawsonList">#REF!</definedName>
    <definedName name="LawsonStart">#REF!</definedName>
    <definedName name="LawsonUploadNIGaccount" localSheetId="1">#REF!</definedName>
    <definedName name="LawsonUploadNIGaccount" localSheetId="2">#REF!</definedName>
    <definedName name="LawsonUploadNIGaccount">#REF!</definedName>
    <definedName name="LawsonUploadNIGamount" localSheetId="1">#REF!</definedName>
    <definedName name="LawsonUploadNIGamount" localSheetId="2">#REF!</definedName>
    <definedName name="LawsonUploadNIGamount">#REF!</definedName>
    <definedName name="LawsonUploadNIGSMCaccount" localSheetId="1">#REF!</definedName>
    <definedName name="LawsonUploadNIGSMCaccount" localSheetId="2">#REF!</definedName>
    <definedName name="LawsonUploadNIGSMCaccount">#REF!</definedName>
    <definedName name="LawsonUploadNIGSMCamount" localSheetId="1">#REF!</definedName>
    <definedName name="LawsonUploadNIGSMCamount" localSheetId="2">#REF!</definedName>
    <definedName name="LawsonUploadNIGSMCamount">#REF!</definedName>
    <definedName name="LCU">#REF!</definedName>
    <definedName name="Legend" localSheetId="1">#REF!</definedName>
    <definedName name="Legend" localSheetId="2">#REF!</definedName>
    <definedName name="Legend">#REF!</definedName>
    <definedName name="Lesotho_UN">#REF!</definedName>
    <definedName name="LevelList">#REF!</definedName>
    <definedName name="List" localSheetId="1">#REF!</definedName>
    <definedName name="List" localSheetId="2">#REF!</definedName>
    <definedName name="List">#REF!</definedName>
    <definedName name="List_Activities">#REF!</definedName>
    <definedName name="List_ExpenseType">#REF!</definedName>
    <definedName name="List_Objectives">#REF!</definedName>
    <definedName name="ListofPrograms">#REF!</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Currency">#REF!</definedName>
    <definedName name="localfringe">#REF!</definedName>
    <definedName name="localinflation_yr2">#REF!</definedName>
    <definedName name="localinflation_yr3">#REF!</definedName>
    <definedName name="localinflation_yr4">#REF!</definedName>
    <definedName name="localinflation_yr5">#REF!</definedName>
    <definedName name="Logistics" localSheetId="1">#REF!</definedName>
    <definedName name="Logistics" localSheetId="2">#REF!</definedName>
    <definedName name="Logistics">#REF!</definedName>
    <definedName name="lstSSISRollupProduct" localSheetId="1">#REF!</definedName>
    <definedName name="lstSSISRollupProduct" localSheetId="2">#REF!</definedName>
    <definedName name="lstSSISRollupProduct">#REF!</definedName>
    <definedName name="lstVariance">#REF!</definedName>
    <definedName name="Lvl1Hdr">#REF!</definedName>
    <definedName name="Lvl2Hdr">#REF!</definedName>
    <definedName name="Lvl3Hdr">#REF!</definedName>
    <definedName name="Lvl4Hdr">#REF!</definedName>
    <definedName name="LvlBottomHdr">#REF!</definedName>
    <definedName name="LvlTopHdr">#REF!</definedName>
    <definedName name="machingatoLL">#REF!</definedName>
    <definedName name="Mada_UN">#REF!</definedName>
    <definedName name="MAL" localSheetId="1">#REF!</definedName>
    <definedName name="MAL" localSheetId="2">#REF!</definedName>
    <definedName name="MAL">#REF!</definedName>
    <definedName name="Malawi_UN">#REF!</definedName>
    <definedName name="MarIndex">#REF!</definedName>
    <definedName name="Marketing" localSheetId="1">#REF!</definedName>
    <definedName name="Marketing" localSheetId="2">#REF!</definedName>
    <definedName name="Marketing">#REF!</definedName>
    <definedName name="mats" localSheetId="1">#REF!</definedName>
    <definedName name="mats" localSheetId="2">#REF!</definedName>
    <definedName name="mats">#REF!</definedName>
    <definedName name="may" localSheetId="1">#REF!</definedName>
    <definedName name="may" localSheetId="2">#REF!</definedName>
    <definedName name="may">#REF!</definedName>
    <definedName name="MayIndex">#REF!</definedName>
    <definedName name="MB40EER" localSheetId="1">#REF!</definedName>
    <definedName name="MB40EER" localSheetId="2">#REF!</definedName>
    <definedName name="MB40EER">#REF!</definedName>
    <definedName name="MB40EERold" localSheetId="1">#REF!</definedName>
    <definedName name="MB40EERold" localSheetId="2">#REF!</definedName>
    <definedName name="MB40EERold">#REF!</definedName>
    <definedName name="MB40old" localSheetId="1">#REF!</definedName>
    <definedName name="MB40old" localSheetId="2">#REF!</definedName>
    <definedName name="MB40old">#REF!</definedName>
    <definedName name="MB44EER" localSheetId="1">#REF!</definedName>
    <definedName name="MB44EER" localSheetId="2">#REF!</definedName>
    <definedName name="MB44EER">#REF!</definedName>
    <definedName name="MB44EERold" localSheetId="1">#REF!</definedName>
    <definedName name="MB44EERold" localSheetId="2">#REF!</definedName>
    <definedName name="MB44EERold">#REF!</definedName>
    <definedName name="MB44old" localSheetId="1">#REF!</definedName>
    <definedName name="MB44old" localSheetId="2">#REF!</definedName>
    <definedName name="MB44old">#REF!</definedName>
    <definedName name="MBP">#REF!</definedName>
    <definedName name="mc" localSheetId="1">#REF!</definedName>
    <definedName name="mc" localSheetId="2">#REF!</definedName>
    <definedName name="mc">#REF!</definedName>
    <definedName name="MCH" localSheetId="1">#REF!</definedName>
    <definedName name="MCH" localSheetId="2">#REF!</definedName>
    <definedName name="MCH">#REF!</definedName>
    <definedName name="md" localSheetId="1">#REF!</definedName>
    <definedName name="md" localSheetId="2">#REF!</definedName>
    <definedName name="md">#REF!</definedName>
    <definedName name="Meals40" localSheetId="1">#REF!</definedName>
    <definedName name="Meals40" localSheetId="2">#REF!</definedName>
    <definedName name="Meals40">#REF!</definedName>
    <definedName name="Meals40EER" localSheetId="1">#REF!</definedName>
    <definedName name="Meals40EER" localSheetId="2">#REF!</definedName>
    <definedName name="Meals40EER">#REF!</definedName>
    <definedName name="Meals40EERold" localSheetId="1">#REF!</definedName>
    <definedName name="Meals40EERold" localSheetId="2">#REF!</definedName>
    <definedName name="Meals40EERold">#REF!</definedName>
    <definedName name="Meals40old" localSheetId="1">#REF!</definedName>
    <definedName name="Meals40old" localSheetId="2">#REF!</definedName>
    <definedName name="Meals40old">#REF!</definedName>
    <definedName name="Meals44" localSheetId="1">#REF!</definedName>
    <definedName name="Meals44" localSheetId="2">#REF!</definedName>
    <definedName name="Meals44">#REF!</definedName>
    <definedName name="Meals44EER" localSheetId="1">#REF!</definedName>
    <definedName name="Meals44EER" localSheetId="2">#REF!</definedName>
    <definedName name="Meals44EER">#REF!</definedName>
    <definedName name="Meals44EERold" localSheetId="1">#REF!</definedName>
    <definedName name="Meals44EERold" localSheetId="2">#REF!</definedName>
    <definedName name="Meals44EERold">#REF!</definedName>
    <definedName name="Meals44old" localSheetId="1">#REF!</definedName>
    <definedName name="Meals44old" localSheetId="2">#REF!</definedName>
    <definedName name="Meals44old">#REF!</definedName>
    <definedName name="medevac">#REF!</definedName>
    <definedName name="MEDSEEE" localSheetId="1">#REF!</definedName>
    <definedName name="MEDSEEE" localSheetId="2">#REF!</definedName>
    <definedName name="MEDSEEE">#REF!</definedName>
    <definedName name="meetcost" localSheetId="1">#REF!+#REF!</definedName>
    <definedName name="meetcost" localSheetId="2">#REF!+#REF!</definedName>
    <definedName name="meetcost">#REF!+#REF!</definedName>
    <definedName name="MEP" localSheetId="1">#REF!</definedName>
    <definedName name="MEP" localSheetId="2">#REF!</definedName>
    <definedName name="MEP">#REF!</definedName>
    <definedName name="MHR">#REF!</definedName>
    <definedName name="MNMNAM15">#REF!</definedName>
    <definedName name="molecules">#REF!</definedName>
    <definedName name="month" localSheetId="1">#REF!</definedName>
    <definedName name="month" localSheetId="2">#REF!</definedName>
    <definedName name="month">#REF!</definedName>
    <definedName name="Month_List">#REF!</definedName>
    <definedName name="MonthIndex">#REF!</definedName>
    <definedName name="Moz_UN">#REF!</definedName>
    <definedName name="multiple_funders">#REF!</definedName>
    <definedName name="multiple_outcomes">#REF!</definedName>
    <definedName name="Myanmar_UN">#REF!</definedName>
    <definedName name="MyList" localSheetId="1">#REF!</definedName>
    <definedName name="MyList" localSheetId="2">#REF!</definedName>
    <definedName name="MyList">#REF!</definedName>
    <definedName name="mzimbaNtoLL">#REF!</definedName>
    <definedName name="NAFA" localSheetId="1">#REF!</definedName>
    <definedName name="NAFA" localSheetId="2">#REF!</definedName>
    <definedName name="NAFA">#REF!</definedName>
    <definedName name="name">#REF!</definedName>
    <definedName name="names" localSheetId="1">#REF!</definedName>
    <definedName name="names" localSheetId="2">#REF!</definedName>
    <definedName name="names">#REF!</definedName>
    <definedName name="NewHC">#REF!</definedName>
    <definedName name="NICRA_Sub" hidden="1">#REF!</definedName>
    <definedName name="Nigeria_UN">#REF!</definedName>
    <definedName name="nmois">#REF!</definedName>
    <definedName name="NN" localSheetId="1">#REF!</definedName>
    <definedName name="NN" localSheetId="2">#REF!</definedName>
    <definedName name="NN">#REF!</definedName>
    <definedName name="No">#REF!</definedName>
    <definedName name="NoAddtl.Dim">#REF!</definedName>
    <definedName name="NoDim">#REF!</definedName>
    <definedName name="Not_Contracted" localSheetId="1">#REF!</definedName>
    <definedName name="Not_Contracted" localSheetId="2">#REF!</definedName>
    <definedName name="Not_Contracted">#REF!</definedName>
    <definedName name="nov" localSheetId="1">#REF!</definedName>
    <definedName name="nov" localSheetId="2">#REF!</definedName>
    <definedName name="nov">#REF!</definedName>
    <definedName name="NovIndex">#REF!</definedName>
    <definedName name="oct" localSheetId="1">#REF!</definedName>
    <definedName name="oct" localSheetId="2">#REF!</definedName>
    <definedName name="oct">#REF!</definedName>
    <definedName name="OctIndex">#REF!</definedName>
    <definedName name="ODCs">#REF!</definedName>
    <definedName name="OnTrack" localSheetId="1">#REF!</definedName>
    <definedName name="OnTrack" localSheetId="2">#REF!</definedName>
    <definedName name="OnTrack">#REF!</definedName>
    <definedName name="OperatingCosts" localSheetId="1">#REF!</definedName>
    <definedName name="OperatingCosts" localSheetId="2">#REF!</definedName>
    <definedName name="OperatingCosts">#REF!</definedName>
    <definedName name="org_name">#REF!</definedName>
    <definedName name="orgrange">#REF!</definedName>
    <definedName name="OTH" localSheetId="1">#REF!</definedName>
    <definedName name="OTH" localSheetId="2">#REF!</definedName>
    <definedName name="OTH">#REF!</definedName>
    <definedName name="OtherThanProcurement" localSheetId="1">#REF!</definedName>
    <definedName name="OtherThanProcurement" localSheetId="2">#REF!</definedName>
    <definedName name="OtherThanProcurement">#REF!</definedName>
    <definedName name="Outcome_Output_List">#REF!:INDEX(#REF!,COUNTA(#REF!),1)</definedName>
    <definedName name="Outcomes">#REF!</definedName>
    <definedName name="OutcomesPlus">#REF!</definedName>
    <definedName name="Output">#REF!</definedName>
    <definedName name="Outputs">#REF!</definedName>
    <definedName name="OVH" localSheetId="1">#REF!</definedName>
    <definedName name="OVH" localSheetId="2">#REF!</definedName>
    <definedName name="OVH">#REF!</definedName>
    <definedName name="p">#REF!</definedName>
    <definedName name="P1_months">#REF!</definedName>
    <definedName name="P2_months">#REF!</definedName>
    <definedName name="PA_Fee_Rate">#REF!</definedName>
    <definedName name="Packaging" localSheetId="1">#REF!</definedName>
    <definedName name="Packaging" localSheetId="2">#REF!</definedName>
    <definedName name="Packaging">#REF!</definedName>
    <definedName name="PAnew">#REF!</definedName>
    <definedName name="partairfare" localSheetId="1">#REF!</definedName>
    <definedName name="partairfare" localSheetId="2">#REF!</definedName>
    <definedName name="partairfare">#REF!</definedName>
    <definedName name="partground" localSheetId="1">#REF!</definedName>
    <definedName name="partground" localSheetId="2">#REF!</definedName>
    <definedName name="partground">#REF!</definedName>
    <definedName name="partlodg" localSheetId="1">#REF!</definedName>
    <definedName name="partlodg" localSheetId="2">#REF!</definedName>
    <definedName name="partlodg">#REF!</definedName>
    <definedName name="partmeals" localSheetId="1">#REF!</definedName>
    <definedName name="partmeals" localSheetId="2">#REF!</definedName>
    <definedName name="partmeals">#REF!</definedName>
    <definedName name="parttransp" localSheetId="1">#REF!</definedName>
    <definedName name="parttransp" localSheetId="2">#REF!</definedName>
    <definedName name="parttransp">#REF!</definedName>
    <definedName name="PayCalc" localSheetId="1">#REF!</definedName>
    <definedName name="PayCalc" localSheetId="2">#REF!</definedName>
    <definedName name="PayCalc">#REF!</definedName>
    <definedName name="PayCalc2" localSheetId="1">#REF!</definedName>
    <definedName name="PayCalc2" localSheetId="2">#REF!</definedName>
    <definedName name="PayCalc2">#REF!</definedName>
    <definedName name="PayCalc3" localSheetId="1">#REF!</definedName>
    <definedName name="PayCalc3" localSheetId="2">#REF!</definedName>
    <definedName name="PayCalc3">#REF!</definedName>
    <definedName name="PayCalc4" localSheetId="1">#REF!</definedName>
    <definedName name="PayCalc4" localSheetId="2">#REF!</definedName>
    <definedName name="PayCalc4">#REF!</definedName>
    <definedName name="PCAI">#REF!</definedName>
    <definedName name="pcr_enfant">#REF!</definedName>
    <definedName name="peds2010">#REF!</definedName>
    <definedName name="period_begin">#REF!</definedName>
    <definedName name="period_end">#REF!</definedName>
    <definedName name="periodbegin">#REF!</definedName>
    <definedName name="periodend">#REF!</definedName>
    <definedName name="PFE">#REF!</definedName>
    <definedName name="phalombetoLL">#REF!</definedName>
    <definedName name="Pharmaceutical_products">#REF!</definedName>
    <definedName name="Phase1">#REF!</definedName>
    <definedName name="pig" localSheetId="1" hidden="1">{"Yr1",#N/A,FALSE,"Budget Detail";"Yr2",#N/A,FALSE,"Budget Detail";"Yr3",#N/A,FALSE,"Budget Detail";"Yr4",#N/A,FALSE,"Budget Detail";"Yr5",#N/A,FALSE,"Budget Detail";"Total",#N/A,FALSE,"Budget Detail"}</definedName>
    <definedName name="pig" localSheetId="2" hidden="1">{"Yr1",#N/A,FALSE,"Budget Detail";"Yr2",#N/A,FALSE,"Budget Detail";"Yr3",#N/A,FALSE,"Budget Detail";"Yr4",#N/A,FALSE,"Budget Detail";"Yr5",#N/A,FALSE,"Budget Detail";"Total",#N/A,FALSE,"Budget Detail"}</definedName>
    <definedName name="pig" hidden="1">{"Yr1",#N/A,FALSE,"Budget Detail";"Yr2",#N/A,FALSE,"Budget Detail";"Yr3",#N/A,FALSE,"Budget Detail";"Yr4",#N/A,FALSE,"Budget Detail";"Yr5",#N/A,FALSE,"Budget Detail";"Total",#N/A,FALSE,"Budget Detail"}</definedName>
    <definedName name="PIHBudget">#REF!</definedName>
    <definedName name="position">#REF!</definedName>
    <definedName name="postallowance">#REF!</definedName>
    <definedName name="postallowance.expat1">#REF!</definedName>
    <definedName name="postallowance.expat10">#REF!</definedName>
    <definedName name="postallowance.expat11">#REF!</definedName>
    <definedName name="postallowance.expat12">#REF!</definedName>
    <definedName name="postallowance.expat2">#REF!</definedName>
    <definedName name="postallowance.expat3">#REF!</definedName>
    <definedName name="postallowance.expat4">#REF!</definedName>
    <definedName name="postallowance.expat5">#REF!</definedName>
    <definedName name="postallowance.expat6">#REF!</definedName>
    <definedName name="postallowance.expat7">#REF!</definedName>
    <definedName name="postallowance.expat8">#REF!</definedName>
    <definedName name="postallowance.expat9">#REF!</definedName>
    <definedName name="postallowance.intlstaff1">#REF!</definedName>
    <definedName name="postallowance.intlstaff10">#REF!</definedName>
    <definedName name="postallowance.intlstaff11">#REF!</definedName>
    <definedName name="postallowance.intlstaff12">#REF!</definedName>
    <definedName name="postallowance.intlstaff13">#REF!</definedName>
    <definedName name="postallowance.intlstaff14">#REF!</definedName>
    <definedName name="postallowance.intlstaff15">#REF!</definedName>
    <definedName name="postallowance.intlstaff2">#REF!</definedName>
    <definedName name="postallowance.intlstaff3">#REF!</definedName>
    <definedName name="postallowance.intlstaff4">#REF!</definedName>
    <definedName name="postallowance.intlstaff5">#REF!</definedName>
    <definedName name="postallowance.intlstaff6">#REF!</definedName>
    <definedName name="postallowance.intlstaff7">#REF!</definedName>
    <definedName name="postallowance.intlstaff8">#REF!</definedName>
    <definedName name="postallowance.intlstaff9">#REF!</definedName>
    <definedName name="postallowance.researcher">#REF!</definedName>
    <definedName name="postdifferential">#REF!</definedName>
    <definedName name="postdifferential.expat1">#REF!</definedName>
    <definedName name="postdifferential.expat10">#REF!</definedName>
    <definedName name="postdifferential.expat11">#REF!</definedName>
    <definedName name="postdifferential.expat12">#REF!</definedName>
    <definedName name="postdifferential.expat2">#REF!</definedName>
    <definedName name="postdifferential.expat3">#REF!</definedName>
    <definedName name="postdifferential.expat4">#REF!</definedName>
    <definedName name="postdifferential.expat5">#REF!</definedName>
    <definedName name="postdifferential.expat6">#REF!</definedName>
    <definedName name="postdifferential.expat7">#REF!</definedName>
    <definedName name="postdifferential.expat8">#REF!</definedName>
    <definedName name="postdifferential.expat9">#REF!</definedName>
    <definedName name="postdifferential.intlstaff1">#REF!</definedName>
    <definedName name="postdifferential.intlstaff10">#REF!</definedName>
    <definedName name="postdifferential.intlstaff11">#REF!</definedName>
    <definedName name="postdifferential.intlstaff12">#REF!</definedName>
    <definedName name="postdifferential.intlstaff13">#REF!</definedName>
    <definedName name="postdifferential.intlstaff14">#REF!</definedName>
    <definedName name="postdifferential.intlstaff15">#REF!</definedName>
    <definedName name="postdifferential.intlstaff2">#REF!</definedName>
    <definedName name="postdifferential.intlstaff3">#REF!</definedName>
    <definedName name="postdifferential.intlstaff4">#REF!</definedName>
    <definedName name="postdifferential.intlstaff5">#REF!</definedName>
    <definedName name="postdifferential.intlstaff6">#REF!</definedName>
    <definedName name="postdifferential.intlstaff7">#REF!</definedName>
    <definedName name="postdifferential.intlstaff8">#REF!</definedName>
    <definedName name="postdifferential.intlstaff9">#REF!</definedName>
    <definedName name="postdifferential.researcher">#REF!</definedName>
    <definedName name="ppr_adult_col" localSheetId="1">#REF!</definedName>
    <definedName name="ppr_adult_col" localSheetId="2">#REF!</definedName>
    <definedName name="ppr_adult_col">#REF!</definedName>
    <definedName name="ppr_adult_col_range" localSheetId="1">#REF!</definedName>
    <definedName name="ppr_adult_col_range" localSheetId="2">#REF!</definedName>
    <definedName name="ppr_adult_col_range">#REF!</definedName>
    <definedName name="ppr_adult_row" localSheetId="1">#REF!</definedName>
    <definedName name="ppr_adult_row" localSheetId="2">#REF!</definedName>
    <definedName name="ppr_adult_row">#REF!</definedName>
    <definedName name="Pre_ProjectYear" localSheetId="1">#REF!</definedName>
    <definedName name="Pre_ProjectYear" localSheetId="2">#REF!</definedName>
    <definedName name="Pre_ProjectYear">#REF!</definedName>
    <definedName name="print" localSheetId="1">#REF!</definedName>
    <definedName name="print" localSheetId="2">#REF!</definedName>
    <definedName name="print">#REF!</definedName>
    <definedName name="PrintCost">#REF!</definedName>
    <definedName name="Procurement">#REF!</definedName>
    <definedName name="Procurementfee">#REF!</definedName>
    <definedName name="Product" localSheetId="1">#REF!</definedName>
    <definedName name="Product" localSheetId="2">#REF!</definedName>
    <definedName name="Product">#REF!</definedName>
    <definedName name="Program" localSheetId="1">#REF!</definedName>
    <definedName name="Program" localSheetId="2">#REF!</definedName>
    <definedName name="Program">#REF!</definedName>
    <definedName name="Program_Cluster">#REF!</definedName>
    <definedName name="ProgramList">#REF!</definedName>
    <definedName name="Programs">#REF!</definedName>
    <definedName name="ProgramsList">#REF!</definedName>
    <definedName name="ProgramTargets">#REF!</definedName>
    <definedName name="ProjAlloc">#REF!</definedName>
    <definedName name="Project" localSheetId="1">#REF!</definedName>
    <definedName name="Project" localSheetId="2">#REF!</definedName>
    <definedName name="Project">#REF!</definedName>
    <definedName name="Project_Category">#REF!</definedName>
    <definedName name="ProjectOption" localSheetId="1">#REF!</definedName>
    <definedName name="ProjectOption" localSheetId="2">#REF!</definedName>
    <definedName name="ProjectOption">#REF!</definedName>
    <definedName name="proph_arv_2">#REF!</definedName>
    <definedName name="proph_cotrim_dp">#REF!</definedName>
    <definedName name="proph_cotrim_nodp">#REF!</definedName>
    <definedName name="PSIw_Staff" localSheetId="1">#REF!</definedName>
    <definedName name="PSIw_Staff" localSheetId="2">#REF!</definedName>
    <definedName name="PSIw_Staff">#REF!</definedName>
    <definedName name="purpose">#REF!</definedName>
    <definedName name="q" localSheetId="1" hidden="1">#REF!</definedName>
    <definedName name="q" localSheetId="2" hidden="1">#REF!</definedName>
    <definedName name="q" hidden="1">#REF!</definedName>
    <definedName name="qqqqqqqqqqqqqqqqq">#REF!</definedName>
    <definedName name="quart_num_in_col" localSheetId="1">#REF!</definedName>
    <definedName name="quart_num_in_col" localSheetId="2">#REF!</definedName>
    <definedName name="quart_num_in_col">#REF!</definedName>
    <definedName name="quart_num_in_row" localSheetId="1">#REF!</definedName>
    <definedName name="quart_num_in_row" localSheetId="2">#REF!</definedName>
    <definedName name="quart_num_in_row">#REF!</definedName>
    <definedName name="Quarters">#REF!</definedName>
    <definedName name="QuartersYR1">#REF!</definedName>
    <definedName name="QuartersYR2">#REF!</definedName>
    <definedName name="RAN">#REF!</definedName>
    <definedName name="rate">#REF!</definedName>
    <definedName name="rbn">#REF!</definedName>
    <definedName name="rcn">#REF!</definedName>
    <definedName name="rdn">#REF!</definedName>
    <definedName name="Reg" localSheetId="1">#REF!</definedName>
    <definedName name="Reg" localSheetId="2">#REF!</definedName>
    <definedName name="Reg">#REF!</definedName>
    <definedName name="reg_adult_in_col" localSheetId="1">#REF!</definedName>
    <definedName name="reg_adult_in_col" localSheetId="2">#REF!</definedName>
    <definedName name="reg_adult_in_col">#REF!</definedName>
    <definedName name="reg_adult_in_row" localSheetId="1">#REF!</definedName>
    <definedName name="reg_adult_in_row" localSheetId="2">#REF!</definedName>
    <definedName name="reg_adult_in_row">#REF!</definedName>
    <definedName name="reg_adult_in_row_range" localSheetId="1">#REF!</definedName>
    <definedName name="reg_adult_in_row_range" localSheetId="2">#REF!</definedName>
    <definedName name="reg_adult_in_row_range">#REF!</definedName>
    <definedName name="reg_adult_pt_col" localSheetId="1">#REF!</definedName>
    <definedName name="reg_adult_pt_col" localSheetId="2">#REF!</definedName>
    <definedName name="reg_adult_pt_col">#REF!</definedName>
    <definedName name="reg_adult_pt_row" localSheetId="1">#REF!</definedName>
    <definedName name="reg_adult_pt_row" localSheetId="2">#REF!</definedName>
    <definedName name="reg_adult_pt_row">#REF!</definedName>
    <definedName name="reg_adult_pt_row_range" localSheetId="1">#REF!</definedName>
    <definedName name="reg_adult_pt_row_range" localSheetId="2">#REF!</definedName>
    <definedName name="reg_adult_pt_row_range">#REF!</definedName>
    <definedName name="reg_peds_in_col" localSheetId="1">#REF!</definedName>
    <definedName name="reg_peds_in_col" localSheetId="2">#REF!</definedName>
    <definedName name="reg_peds_in_col">#REF!</definedName>
    <definedName name="reg_peds_in_row" localSheetId="1">#REF!</definedName>
    <definedName name="reg_peds_in_row" localSheetId="2">#REF!</definedName>
    <definedName name="reg_peds_in_row">#REF!</definedName>
    <definedName name="reg_peds_in_row_range" localSheetId="1">#REF!</definedName>
    <definedName name="reg_peds_in_row_range" localSheetId="2">#REF!</definedName>
    <definedName name="reg_peds_in_row_range">#REF!</definedName>
    <definedName name="reg_peds_pt_col" localSheetId="1">#REF!</definedName>
    <definedName name="reg_peds_pt_col" localSheetId="2">#REF!</definedName>
    <definedName name="reg_peds_pt_col">#REF!</definedName>
    <definedName name="reg_peds_pt_row" localSheetId="1">#REF!</definedName>
    <definedName name="reg_peds_pt_row" localSheetId="2">#REF!</definedName>
    <definedName name="reg_peds_pt_row">#REF!</definedName>
    <definedName name="reg_peds_pt_row_range" localSheetId="1">#REF!</definedName>
    <definedName name="reg_peds_pt_row_range" localSheetId="2">#REF!</definedName>
    <definedName name="reg_peds_pt_row_range">#REF!</definedName>
    <definedName name="Reg_stat" localSheetId="1">#REF!</definedName>
    <definedName name="Reg_stat" localSheetId="2">#REF!</definedName>
    <definedName name="Reg_stat">#REF!</definedName>
    <definedName name="Region" localSheetId="1">#REF!</definedName>
    <definedName name="Region" localSheetId="2">#REF!</definedName>
    <definedName name="Region">#REF!</definedName>
    <definedName name="Regions" localSheetId="1">#REF!</definedName>
    <definedName name="Regions" localSheetId="2">#REF!</definedName>
    <definedName name="Regions">#REF!</definedName>
    <definedName name="Regs" localSheetId="1">#REF!</definedName>
    <definedName name="Regs" localSheetId="2">#REF!</definedName>
    <definedName name="Regs">#REF!</definedName>
    <definedName name="ren">#REF!</definedName>
    <definedName name="Replacement" localSheetId="1">#REF!</definedName>
    <definedName name="Replacement" localSheetId="2">#REF!</definedName>
    <definedName name="Replacement">#REF!</definedName>
    <definedName name="Replacing" localSheetId="1">#REF!</definedName>
    <definedName name="Replacing" localSheetId="2">#REF!</definedName>
    <definedName name="Replacing">#REF!</definedName>
    <definedName name="ReportDate">#REF!</definedName>
    <definedName name="Research_Evaluation" localSheetId="1">#REF!</definedName>
    <definedName name="Research_Evaluation" localSheetId="2">#REF!</definedName>
    <definedName name="Research_Evaluation">#REF!</definedName>
    <definedName name="rfa" localSheetId="1" hidden="1">{"Yr1",#N/A,FALSE,"Budget Detail";"Yr2",#N/A,FALSE,"Budget Detail";"Yr3",#N/A,FALSE,"Budget Detail";"Yr4",#N/A,FALSE,"Budget Detail";"Yr5",#N/A,FALSE,"Budget Detail";"Total",#N/A,FALSE,"Budget Detail"}</definedName>
    <definedName name="rfa" localSheetId="2" hidden="1">{"Yr1",#N/A,FALSE,"Budget Detail";"Yr2",#N/A,FALSE,"Budget Detail";"Yr3",#N/A,FALSE,"Budget Detail";"Yr4",#N/A,FALSE,"Budget Detail";"Yr5",#N/A,FALSE,"Budget Detail";"Total",#N/A,FALSE,"Budget Detail"}</definedName>
    <definedName name="rfa" hidden="1">{"Yr1",#N/A,FALSE,"Budget Detail";"Yr2",#N/A,FALSE,"Budget Detail";"Yr3",#N/A,FALSE,"Budget Detail";"Yr4",#N/A,FALSE,"Budget Detail";"Yr5",#N/A,FALSE,"Budget Detail";"Total",#N/A,FALSE,"Budget Detail"}</definedName>
    <definedName name="rhn">#REF!</definedName>
    <definedName name="rin">#REF!</definedName>
    <definedName name="rjn">#REF!</definedName>
    <definedName name="rkn">#REF!</definedName>
    <definedName name="rln">#REF!</definedName>
    <definedName name="roomrent" localSheetId="1">#REF!</definedName>
    <definedName name="roomrent" localSheetId="2">#REF!</definedName>
    <definedName name="roomrent">#REF!</definedName>
    <definedName name="rpn">#REF!</definedName>
    <definedName name="rs">#REF!</definedName>
    <definedName name="rsn">#REF!</definedName>
    <definedName name="RUSSIA" localSheetId="1">#REF!</definedName>
    <definedName name="RUSSIA" localSheetId="2">#REF!</definedName>
    <definedName name="RUSSIA">#REF!</definedName>
    <definedName name="rwn">#REF!</definedName>
    <definedName name="SA_UN">#REF!</definedName>
    <definedName name="Sampling_Testing" localSheetId="1">#REF!</definedName>
    <definedName name="Sampling_Testing" localSheetId="2">#REF!</definedName>
    <definedName name="Sampling_Testing">#REF!</definedName>
    <definedName name="san">#REF!</definedName>
    <definedName name="scale_adult_in_col" localSheetId="1">#REF!</definedName>
    <definedName name="scale_adult_in_col" localSheetId="2">#REF!</definedName>
    <definedName name="scale_adult_in_col">#REF!</definedName>
    <definedName name="scale_adult_in_row" localSheetId="1">#REF!</definedName>
    <definedName name="scale_adult_in_row" localSheetId="2">#REF!</definedName>
    <definedName name="scale_adult_in_row">#REF!</definedName>
    <definedName name="scale_adult_in_row2" localSheetId="1">#REF!</definedName>
    <definedName name="scale_adult_in_row2" localSheetId="2">#REF!</definedName>
    <definedName name="scale_adult_in_row2">#REF!</definedName>
    <definedName name="scale_peds_in_col" localSheetId="1">#REF!</definedName>
    <definedName name="scale_peds_in_col" localSheetId="2">#REF!</definedName>
    <definedName name="scale_peds_in_col">#REF!</definedName>
    <definedName name="scale_peds_in_row" localSheetId="1">#REF!</definedName>
    <definedName name="scale_peds_in_row" localSheetId="2">#REF!</definedName>
    <definedName name="scale_peds_in_row">#REF!</definedName>
    <definedName name="scn">#REF!</definedName>
    <definedName name="sd">#REF!</definedName>
    <definedName name="sdf">#REF!</definedName>
    <definedName name="sdfdsaf" localSheetId="1">#REF!</definedName>
    <definedName name="sdfdsaf" localSheetId="2">#REF!</definedName>
    <definedName name="sdfdsaf">#REF!</definedName>
    <definedName name="sdkj" localSheetId="1">#REF!</definedName>
    <definedName name="sdkj" localSheetId="2">#REF!</definedName>
    <definedName name="sdkj">#REF!</definedName>
    <definedName name="sdn">#REF!</definedName>
    <definedName name="secondline">#REF!</definedName>
    <definedName name="Section_1._Testing" localSheetId="1">#REF!</definedName>
    <definedName name="Section_1._Testing" localSheetId="2">#REF!</definedName>
    <definedName name="Section_1._Testing">#REF!</definedName>
    <definedName name="Sections" localSheetId="1">#REF!</definedName>
    <definedName name="Sections" localSheetId="2">#REF!</definedName>
    <definedName name="Sections">#REF!</definedName>
    <definedName name="sep" localSheetId="1">#REF!</definedName>
    <definedName name="sep" localSheetId="2">#REF!</definedName>
    <definedName name="sep">#REF!</definedName>
    <definedName name="SepIndex">#REF!</definedName>
    <definedName name="Severance">#REF!</definedName>
    <definedName name="sfc" localSheetId="1">#REF!</definedName>
    <definedName name="sfc" localSheetId="2">#REF!</definedName>
    <definedName name="sfc">#REF!</definedName>
    <definedName name="sfd" localSheetId="1">#REF!</definedName>
    <definedName name="sfd" localSheetId="2">#REF!</definedName>
    <definedName name="sfd">#REF!</definedName>
    <definedName name="sfn">#REF!</definedName>
    <definedName name="Shared_Office_Accounts">#REF!</definedName>
    <definedName name="Shipping" localSheetId="1">#REF!</definedName>
    <definedName name="Shipping" localSheetId="2">#REF!</definedName>
    <definedName name="Shipping">#REF!</definedName>
    <definedName name="Shipping_Rate">#REF!</definedName>
    <definedName name="Shipping_Rate1">#REF!</definedName>
    <definedName name="shn">#REF!</definedName>
    <definedName name="sic" localSheetId="1">#REF!</definedName>
    <definedName name="sic" localSheetId="2">#REF!</definedName>
    <definedName name="sic">#REF!</definedName>
    <definedName name="sid" localSheetId="1">#REF!</definedName>
    <definedName name="sid" localSheetId="2">#REF!</definedName>
    <definedName name="sid">#REF!</definedName>
    <definedName name="SIGLE">#REF!</definedName>
    <definedName name="Site">OFFSET(#REF!,0,0,COUNTA(#REF!),1)</definedName>
    <definedName name="SiteAndDistrict">#REF!</definedName>
    <definedName name="SiteCodeDistrict">#REF!</definedName>
    <definedName name="Sites">#REF!</definedName>
    <definedName name="Sites2">#REF!</definedName>
    <definedName name="Sites3">#REF!</definedName>
    <definedName name="SitesAndDistrict4">#REF!</definedName>
    <definedName name="SitesandDistricts3">#REF!</definedName>
    <definedName name="skn">#REF!</definedName>
    <definedName name="sln">#REF!</definedName>
    <definedName name="smn">#REF!</definedName>
    <definedName name="SMSPrinters">#REF!</definedName>
    <definedName name="son">#REF!</definedName>
    <definedName name="sourcedata">OFFSET(#REF!,0,0,COUNTA(#REF!),COUNTA(#REF!))</definedName>
    <definedName name="sqn">#REF!</definedName>
    <definedName name="srn">#REF!</definedName>
    <definedName name="ssn">#REF!</definedName>
    <definedName name="StaffCategories">#REF!</definedName>
    <definedName name="start_date">#REF!</definedName>
    <definedName name="start_period_1">#REF!</definedName>
    <definedName name="start_period_10">#REF!</definedName>
    <definedName name="start_period_2">#REF!</definedName>
    <definedName name="start_period_3">#REF!</definedName>
    <definedName name="start_period_4">#REF!</definedName>
    <definedName name="start_period_5">#REF!</definedName>
    <definedName name="start_period_6">#REF!</definedName>
    <definedName name="start_period_7">#REF!</definedName>
    <definedName name="start_period_8">#REF!</definedName>
    <definedName name="start_period_9">#REF!</definedName>
    <definedName name="StationaryCost">#REF!</definedName>
    <definedName name="Status">#REF!</definedName>
    <definedName name="stn">#REF!</definedName>
    <definedName name="Strategic_Group" localSheetId="1">#REF!</definedName>
    <definedName name="Strategic_Group" localSheetId="2">#REF!</definedName>
    <definedName name="Strategic_Group">#REF!</definedName>
    <definedName name="STTA" localSheetId="1">#REF!</definedName>
    <definedName name="STTA" localSheetId="2">#REF!</definedName>
    <definedName name="STTA">#REF!</definedName>
    <definedName name="Subaward_Fee">#REF!</definedName>
    <definedName name="Subawards" localSheetId="1">#REF!</definedName>
    <definedName name="Subawards" localSheetId="2">#REF!</definedName>
    <definedName name="Subawards">#REF!</definedName>
    <definedName name="Subcategories">#REF!</definedName>
    <definedName name="SubFee">#REF!</definedName>
    <definedName name="SummaryA" localSheetId="1">#REF!</definedName>
    <definedName name="SummaryA" localSheetId="2">#REF!</definedName>
    <definedName name="SummaryA">#REF!</definedName>
    <definedName name="SummaryB" localSheetId="1">#REF!</definedName>
    <definedName name="SummaryB" localSheetId="2">#REF!</definedName>
    <definedName name="SummaryB">#REF!</definedName>
    <definedName name="SupportProgram">#REF!</definedName>
    <definedName name="SupportPrograms3">#REF!</definedName>
    <definedName name="Surplus___Deficit_Analysis_Basics" localSheetId="1">#REF!</definedName>
    <definedName name="Surplus___Deficit_Analysis_Basics" localSheetId="2">#REF!</definedName>
    <definedName name="Surplus___Deficit_Analysis_Basics">#REF!</definedName>
    <definedName name="SWA" localSheetId="1">#REF!</definedName>
    <definedName name="SWA" localSheetId="2">#REF!</definedName>
    <definedName name="SWA">#REF!</definedName>
    <definedName name="switchto_adult_col" localSheetId="1">#REF!</definedName>
    <definedName name="switchto_adult_col" localSheetId="2">#REF!</definedName>
    <definedName name="switchto_adult_col">#REF!</definedName>
    <definedName name="switchto_adult_col_range" localSheetId="1">#REF!</definedName>
    <definedName name="switchto_adult_col_range" localSheetId="2">#REF!</definedName>
    <definedName name="switchto_adult_col_range">#REF!</definedName>
    <definedName name="switchto_adult_row" localSheetId="1">#REF!</definedName>
    <definedName name="switchto_adult_row" localSheetId="2">#REF!</definedName>
    <definedName name="switchto_adult_row">#REF!</definedName>
    <definedName name="Table_Outcomes">#REF!</definedName>
    <definedName name="Table_TestColumn">#REF!</definedName>
    <definedName name="Table_TestCost">#REF!</definedName>
    <definedName name="tan">#REF!</definedName>
    <definedName name="Tanz_UN">#REF!</definedName>
    <definedName name="tbn">#REF!</definedName>
    <definedName name="tcn">#REF!</definedName>
    <definedName name="tdlunch" localSheetId="1">#REF!</definedName>
    <definedName name="tdlunch" localSheetId="2">#REF!</definedName>
    <definedName name="tdlunch">#REF!</definedName>
    <definedName name="tdn">#REF!</definedName>
    <definedName name="ten">#REF!</definedName>
    <definedName name="test" localSheetId="1" hidden="1">#REF!</definedName>
    <definedName name="test" localSheetId="2" hidden="1">#REF!</definedName>
    <definedName name="test" hidden="1">#REF!</definedName>
    <definedName name="test1" localSheetId="1" hidden="1">#REF!</definedName>
    <definedName name="test1" localSheetId="2" hidden="1">#REF!</definedName>
    <definedName name="test1" hidden="1">#REF!</definedName>
    <definedName name="test11" localSheetId="1" hidden="1">#REF!</definedName>
    <definedName name="test11" localSheetId="2" hidden="1">#REF!</definedName>
    <definedName name="test11" hidden="1">#REF!</definedName>
    <definedName name="test3" localSheetId="1" hidden="1">#REF!</definedName>
    <definedName name="test3" localSheetId="2" hidden="1">#REF!</definedName>
    <definedName name="test3" hidden="1">#REF!</definedName>
    <definedName name="text" localSheetId="1" hidden="1">#REF!</definedName>
    <definedName name="text" localSheetId="2" hidden="1">#REF!</definedName>
    <definedName name="text" hidden="1">#REF!</definedName>
    <definedName name="tfn">#REF!</definedName>
    <definedName name="tgn">#REF!</definedName>
    <definedName name="thn">#REF!</definedName>
    <definedName name="TIMP">#REF!</definedName>
    <definedName name="tin">#REF!</definedName>
    <definedName name="tkn">#REF!</definedName>
    <definedName name="tln">#REF!</definedName>
    <definedName name="tnn">#REF!</definedName>
    <definedName name="totalcost2">#REF!</definedName>
    <definedName name="totalcost3">#REF!</definedName>
    <definedName name="totalcost4">#REF!</definedName>
    <definedName name="totalcost5">#REF!</definedName>
    <definedName name="tqn">#REF!</definedName>
    <definedName name="TRACKER"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RACKER"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RACKER"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RACKER"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rainings" localSheetId="1">#REF!</definedName>
    <definedName name="Trainings" localSheetId="2">#REF!</definedName>
    <definedName name="Trainings">#REF!</definedName>
    <definedName name="trans_adult_stock_col" localSheetId="1">#REF!</definedName>
    <definedName name="trans_adult_stock_col" localSheetId="2">#REF!</definedName>
    <definedName name="trans_adult_stock_col">#REF!</definedName>
    <definedName name="trans_adult_stock_row" localSheetId="1">#REF!</definedName>
    <definedName name="trans_adult_stock_row" localSheetId="2">#REF!</definedName>
    <definedName name="trans_adult_stock_row">#REF!</definedName>
    <definedName name="trans_adult_stock_row_range" localSheetId="1">#REF!</definedName>
    <definedName name="trans_adult_stock_row_range" localSheetId="2">#REF!</definedName>
    <definedName name="trans_adult_stock_row_range">#REF!</definedName>
    <definedName name="Travel">#REF!</definedName>
    <definedName name="travmisc" localSheetId="1">#REF!+#REF!+#REF!</definedName>
    <definedName name="travmisc" localSheetId="2">#REF!+#REF!+#REF!</definedName>
    <definedName name="travmisc">#REF!+#REF!+#REF!</definedName>
    <definedName name="trtfail_adult_col" localSheetId="1">#REF!</definedName>
    <definedName name="trtfail_adult_col" localSheetId="2">#REF!</definedName>
    <definedName name="trtfail_adult_col">#REF!</definedName>
    <definedName name="trtfail_adult_col_range" localSheetId="1">#REF!</definedName>
    <definedName name="trtfail_adult_col_range" localSheetId="2">#REF!</definedName>
    <definedName name="trtfail_adult_col_range">#REF!</definedName>
    <definedName name="trtfail_adult_row" localSheetId="1">#REF!</definedName>
    <definedName name="trtfail_adult_row" localSheetId="2">#REF!</definedName>
    <definedName name="trtfail_adult_row">#REF!</definedName>
    <definedName name="tsn">#REF!</definedName>
    <definedName name="ttn">#REF!</definedName>
    <definedName name="TURKEY" localSheetId="1">#REF!</definedName>
    <definedName name="TURKEY" localSheetId="2">#REF!</definedName>
    <definedName name="TURKEY">#REF!</definedName>
    <definedName name="twn">#REF!</definedName>
    <definedName name="Type_of_expense">#REF!</definedName>
    <definedName name="uan">#REF!</definedName>
    <definedName name="ucn">#REF!</definedName>
    <definedName name="udn">#REF!</definedName>
    <definedName name="uen">#REF!</definedName>
    <definedName name="ufn">#REF!</definedName>
    <definedName name="Uganda_UN">#REF!</definedName>
    <definedName name="ugandaacct">#REF!</definedName>
    <definedName name="ugandatotal">#REF!</definedName>
    <definedName name="uhn">#REF!</definedName>
    <definedName name="uin">#REF!</definedName>
    <definedName name="ukn">#REF!</definedName>
    <definedName name="uln">#REF!</definedName>
    <definedName name="umn">#REF!</definedName>
    <definedName name="UNITAIDRAS1">#REF!</definedName>
    <definedName name="unn">#REF!</definedName>
    <definedName name="uon">#REF!</definedName>
    <definedName name="upn">#REF!</definedName>
    <definedName name="usaidperd" localSheetId="1">#REF!+#REF!</definedName>
    <definedName name="usaidperd" localSheetId="2">#REF!+#REF!</definedName>
    <definedName name="usaidperd">#REF!+#REF!</definedName>
    <definedName name="USD_Euro">#REF!</definedName>
    <definedName name="usdcfa">#REF!</definedName>
    <definedName name="usinflation">#REF!</definedName>
    <definedName name="usinflation_yr2">#REF!</definedName>
    <definedName name="usinflation_yr3">#REF!</definedName>
    <definedName name="usinflation_yr4">#REF!</definedName>
    <definedName name="usinflation_yr5">#REF!</definedName>
    <definedName name="utn">#REF!</definedName>
    <definedName name="UU"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UU"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UU"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UU"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uzn">#REF!</definedName>
    <definedName name="VAC" localSheetId="1">#REF!</definedName>
    <definedName name="VAC" localSheetId="2">#REF!</definedName>
    <definedName name="VAC">#REF!</definedName>
    <definedName name="Vacay_Taken">#REF!</definedName>
    <definedName name="varARVShip">0.15</definedName>
    <definedName name="VenueCost">#REF!</definedName>
    <definedName name="VenueFood">#REF!</definedName>
    <definedName name="VenueSnack">#REF!</definedName>
    <definedName name="vgnc1">#REF!</definedName>
    <definedName name="vgnc2">#REF!</definedName>
    <definedName name="vgndc1">#REF!</definedName>
    <definedName name="vgndc2">#REF!</definedName>
    <definedName name="VGNS1">#REF!</definedName>
    <definedName name="vgns2">#REF!</definedName>
    <definedName name="ville">#REF!</definedName>
    <definedName name="w" localSheetId="1" hidden="1">#REF!</definedName>
    <definedName name="w" localSheetId="2" hidden="1">#REF!</definedName>
    <definedName name="w" hidden="1">#REF!</definedName>
    <definedName name="workerscomp.expat">#REF!</definedName>
    <definedName name="workerscomp.intlstaff">#REF!</definedName>
    <definedName name="wrn.cdra._.Total._.budget.2" localSheetId="1" hidden="1">{"Yr1",#N/A,FALSE,"Budget Detail";"Yr2",#N/A,FALSE,"Budget Detail";"Yr3",#N/A,FALSE,"Budget Detail";"Yr4",#N/A,FALSE,"Budget Detail";"Yr5",#N/A,FALSE,"Budget Detail";"Total",#N/A,FALSE,"Budget Detail"}</definedName>
    <definedName name="wrn.cdra._.Total._.budget.2" localSheetId="2" hidden="1">{"Yr1",#N/A,FALSE,"Budget Detail";"Yr2",#N/A,FALSE,"Budget Detail";"Yr3",#N/A,FALSE,"Budget Detail";"Yr4",#N/A,FALSE,"Budget Detail";"Yr5",#N/A,FALSE,"Budget Detail";"Total",#N/A,FALSE,"Budget Detail"}</definedName>
    <definedName name="wrn.cdra._.Total._.budget.2" hidden="1">{"Yr1",#N/A,FALSE,"Budget Detail";"Yr2",#N/A,FALSE,"Budget Detail";"Yr3",#N/A,FALSE,"Budget Detail";"Yr4",#N/A,FALSE,"Budget Detail";"Yr5",#N/A,FALSE,"Budget Detail";"Total",#N/A,FALSE,"Budget Detail"}</definedName>
    <definedName name="wrn.cdra._.total._.Budget.5" localSheetId="1" hidden="1">{"Yr1",#N/A,FALSE,"Budget Detail";"Yr2",#N/A,FALSE,"Budget Detail";"Yr3",#N/A,FALSE,"Budget Detail";"Yr4",#N/A,FALSE,"Budget Detail";"Yr5",#N/A,FALSE,"Budget Detail";"Total",#N/A,FALSE,"Budget Detail"}</definedName>
    <definedName name="wrn.cdra._.total._.Budget.5" localSheetId="2" hidden="1">{"Yr1",#N/A,FALSE,"Budget Detail";"Yr2",#N/A,FALSE,"Budget Detail";"Yr3",#N/A,FALSE,"Budget Detail";"Yr4",#N/A,FALSE,"Budget Detail";"Yr5",#N/A,FALSE,"Budget Detail";"Total",#N/A,FALSE,"Budget Detail"}</definedName>
    <definedName name="wrn.cdra._.total._.Budget.5" hidden="1">{"Yr1",#N/A,FALSE,"Budget Detail";"Yr2",#N/A,FALSE,"Budget Detail";"Yr3",#N/A,FALSE,"Budget Detail";"Yr4",#N/A,FALSE,"Budget Detail";"Yr5",#N/A,FALSE,"Budget Detail";"Total",#N/A,FALSE,"Budget Detail"}</definedName>
    <definedName name="wrn.CRDA._.Total._.Budget." localSheetId="1" hidden="1">{"Yr1",#N/A,FALSE,"Budget Detail";"Yr2",#N/A,FALSE,"Budget Detail";"Yr3",#N/A,FALSE,"Budget Detail";"Yr4",#N/A,FALSE,"Budget Detail";"Yr5",#N/A,FALSE,"Budget Detail";"Total",#N/A,FALSE,"Budget Detail"}</definedName>
    <definedName name="wrn.CRDA._.Total._.Budget." localSheetId="2" hidden="1">{"Yr1",#N/A,FALSE,"Budget Detail";"Yr2",#N/A,FALSE,"Budget Detail";"Yr3",#N/A,FALSE,"Budget Detail";"Yr4",#N/A,FALSE,"Budget Detail";"Yr5",#N/A,FALSE,"Budget Detail";"Total",#N/A,FALSE,"Budget Detail"}</definedName>
    <definedName name="wrn.CRDA._.Total._.Budget." hidden="1">{"Yr1",#N/A,FALSE,"Budget Detail";"Yr2",#N/A,FALSE,"Budget Detail";"Yr3",#N/A,FALSE,"Budget Detail";"Yr4",#N/A,FALSE,"Budget Detail";"Yr5",#N/A,FALSE,"Budget Detail";"Total",#N/A,FALSE,"Budget Detail"}</definedName>
    <definedName name="wrn.crda._.Total._.budget.1" localSheetId="1" hidden="1">{"Yr1",#N/A,FALSE,"Budget Detail";"Yr2",#N/A,FALSE,"Budget Detail";"Yr3",#N/A,FALSE,"Budget Detail";"Yr4",#N/A,FALSE,"Budget Detail";"Yr5",#N/A,FALSE,"Budget Detail";"Total",#N/A,FALSE,"Budget Detail"}</definedName>
    <definedName name="wrn.crda._.Total._.budget.1" localSheetId="2" hidden="1">{"Yr1",#N/A,FALSE,"Budget Detail";"Yr2",#N/A,FALSE,"Budget Detail";"Yr3",#N/A,FALSE,"Budget Detail";"Yr4",#N/A,FALSE,"Budget Detail";"Yr5",#N/A,FALSE,"Budget Detail";"Total",#N/A,FALSE,"Budget Detail"}</definedName>
    <definedName name="wrn.crda._.Total._.budget.1" hidden="1">{"Yr1",#N/A,FALSE,"Budget Detail";"Yr2",#N/A,FALSE,"Budget Detail";"Yr3",#N/A,FALSE,"Budget Detail";"Yr4",#N/A,FALSE,"Budget Detail";"Yr5",#N/A,FALSE,"Budget Detail";"Total",#N/A,FALSE,"Budget Detail"}</definedName>
    <definedName name="wrn.crda._.Total._.budget.3" localSheetId="1" hidden="1">{"Yr1",#N/A,FALSE,"Budget Detail";"Yr2",#N/A,FALSE,"Budget Detail";"Yr3",#N/A,FALSE,"Budget Detail";"Yr4",#N/A,FALSE,"Budget Detail";"Yr5",#N/A,FALSE,"Budget Detail";"Total",#N/A,FALSE,"Budget Detail"}</definedName>
    <definedName name="wrn.crda._.Total._.budget.3" localSheetId="2" hidden="1">{"Yr1",#N/A,FALSE,"Budget Detail";"Yr2",#N/A,FALSE,"Budget Detail";"Yr3",#N/A,FALSE,"Budget Detail";"Yr4",#N/A,FALSE,"Budget Detail";"Yr5",#N/A,FALSE,"Budget Detail";"Total",#N/A,FALSE,"Budget Detail"}</definedName>
    <definedName name="wrn.crda._.Total._.budget.3" hidden="1">{"Yr1",#N/A,FALSE,"Budget Detail";"Yr2",#N/A,FALSE,"Budget Detail";"Yr3",#N/A,FALSE,"Budget Detail";"Yr4",#N/A,FALSE,"Budget Detail";"Yr5",#N/A,FALSE,"Budget Detail";"Total",#N/A,FALSE,"Budget Detail"}</definedName>
    <definedName name="wrn.crda._.Total._.Budget.4" localSheetId="1" hidden="1">{"Yr1",#N/A,FALSE,"Budget Detail";"Yr2",#N/A,FALSE,"Budget Detail";"Yr3",#N/A,FALSE,"Budget Detail";"Yr4",#N/A,FALSE,"Budget Detail";"Yr5",#N/A,FALSE,"Budget Detail";"Total",#N/A,FALSE,"Budget Detail"}</definedName>
    <definedName name="wrn.crda._.Total._.Budget.4" localSheetId="2" hidden="1">{"Yr1",#N/A,FALSE,"Budget Detail";"Yr2",#N/A,FALSE,"Budget Detail";"Yr3",#N/A,FALSE,"Budget Detail";"Yr4",#N/A,FALSE,"Budget Detail";"Yr5",#N/A,FALSE,"Budget Detail";"Total",#N/A,FALSE,"Budget Detail"}</definedName>
    <definedName name="wrn.crda._.Total._.Budget.4" hidden="1">{"Yr1",#N/A,FALSE,"Budget Detail";"Yr2",#N/A,FALSE,"Budget Detail";"Yr3",#N/A,FALSE,"Budget Detail";"Yr4",#N/A,FALSE,"Budget Detail";"Yr5",#N/A,FALSE,"Budget Detail";"Total",#N/A,FALSE,"Budget Detail"}</definedName>
    <definedName name="wt_band_input" localSheetId="1">#REF!</definedName>
    <definedName name="wt_band_input" localSheetId="2">#REF!</definedName>
    <definedName name="wt_band_input">#REF!</definedName>
    <definedName name="wt_bands" localSheetId="1">#REF!</definedName>
    <definedName name="wt_bands" localSheetId="2">#REF!</definedName>
    <definedName name="wt_bands">#REF!</definedName>
    <definedName name="x">#REF!</definedName>
    <definedName name="year">#REF!</definedName>
    <definedName name="year1">#REF!</definedName>
    <definedName name="year2">#REF!</definedName>
    <definedName name="year3">#REF!</definedName>
    <definedName name="year4">#REF!</definedName>
    <definedName name="year5">#REF!</definedName>
    <definedName name="yearbegin">#REF!</definedName>
    <definedName name="YesNo">#REF!</definedName>
    <definedName name="YR2?">#REF!</definedName>
    <definedName name="yrbegin">#REF!</definedName>
    <definedName name="yrend">#REF!</definedName>
    <definedName name="YTDA">#REF!</definedName>
    <definedName name="YTDB">#REF!</definedName>
    <definedName name="z">#REF!</definedName>
    <definedName name="Zam_UN">#REF!</definedName>
    <definedName name="Zim_U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7" l="1"/>
  <c r="J19" i="3"/>
  <c r="J20" i="3" s="1"/>
  <c r="J21" i="3" s="1"/>
  <c r="J22" i="3" s="1"/>
  <c r="J23" i="3" s="1"/>
  <c r="J24" i="3" s="1"/>
  <c r="J25" i="3" s="1"/>
  <c r="J26" i="3"/>
  <c r="J27" i="3"/>
  <c r="J28" i="3"/>
  <c r="J29" i="3"/>
  <c r="J30" i="3"/>
  <c r="J31" i="3"/>
  <c r="J32" i="3"/>
  <c r="J33" i="3"/>
  <c r="J34" i="3"/>
  <c r="J35" i="3"/>
  <c r="J36" i="3"/>
  <c r="J37" i="3"/>
  <c r="J38" i="3"/>
  <c r="J39" i="3"/>
  <c r="J40" i="3"/>
  <c r="J41" i="3"/>
  <c r="J42" i="3"/>
  <c r="J43" i="3"/>
  <c r="J44" i="3"/>
  <c r="J45" i="3"/>
  <c r="J46" i="3"/>
  <c r="D14" i="7"/>
  <c r="E15" i="3"/>
  <c r="D28" i="3" l="1"/>
  <c r="C12" i="7"/>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C8" i="7"/>
  <c r="K43" i="3" l="1"/>
  <c r="K42" i="3"/>
  <c r="K41" i="3"/>
  <c r="K40" i="3"/>
  <c r="K38" i="3"/>
  <c r="K39" i="3"/>
  <c r="K37" i="3"/>
  <c r="K36" i="3"/>
  <c r="K46" i="3"/>
  <c r="K35" i="3"/>
  <c r="K34" i="3"/>
  <c r="K45" i="3"/>
  <c r="K44" i="3"/>
  <c r="D29" i="3"/>
  <c r="D30" i="3" l="1"/>
  <c r="D31" i="3" l="1"/>
  <c r="D32" i="3" s="1"/>
  <c r="D33" i="3" s="1"/>
  <c r="D34" i="3" s="1"/>
  <c r="D35" i="3" l="1"/>
  <c r="D36" i="3" l="1"/>
  <c r="K26" i="3" l="1"/>
  <c r="D37" i="3"/>
  <c r="E48" i="8"/>
  <c r="C24" i="7" s="1"/>
  <c r="D24" i="7" s="1"/>
  <c r="E47" i="8"/>
  <c r="C23" i="7" s="1"/>
  <c r="D23" i="7" s="1"/>
  <c r="E46" i="8"/>
  <c r="C22" i="7" s="1"/>
  <c r="D22" i="7" s="1"/>
  <c r="E45" i="8"/>
  <c r="C21" i="7" s="1"/>
  <c r="D21" i="7" s="1"/>
  <c r="E44" i="8"/>
  <c r="C20" i="7" s="1"/>
  <c r="D20" i="7" s="1"/>
  <c r="E43" i="8"/>
  <c r="C19" i="7" s="1"/>
  <c r="D19" i="7" s="1"/>
  <c r="E42" i="8"/>
  <c r="C18" i="7" s="1"/>
  <c r="D18" i="7" s="1"/>
  <c r="E41" i="8"/>
  <c r="C17" i="7" s="1"/>
  <c r="D17" i="7" s="1"/>
  <c r="E40" i="8"/>
  <c r="C16" i="7" s="1"/>
  <c r="D16" i="7" s="1"/>
  <c r="E39" i="8"/>
  <c r="C15" i="7" s="1"/>
  <c r="L38" i="8"/>
  <c r="K38" i="8"/>
  <c r="J38" i="8"/>
  <c r="I38" i="8"/>
  <c r="H38" i="8"/>
  <c r="G38" i="8"/>
  <c r="F38" i="8"/>
  <c r="C38" i="8"/>
  <c r="D15" i="7" l="1"/>
  <c r="E17" i="3" s="1"/>
  <c r="K27" i="3"/>
  <c r="D38" i="3"/>
  <c r="K28" i="3" l="1"/>
  <c r="D39" i="3"/>
  <c r="K29" i="3" l="1"/>
  <c r="D40" i="3"/>
  <c r="K30" i="3" l="1"/>
  <c r="D41" i="3"/>
  <c r="K31" i="3" l="1"/>
  <c r="D42" i="3"/>
  <c r="K33" i="3" l="1"/>
  <c r="K32" i="3"/>
  <c r="D43" i="3"/>
  <c r="D44" i="3" l="1"/>
  <c r="D45" i="3" l="1"/>
  <c r="D46" i="3" l="1"/>
  <c r="D47" i="3" l="1"/>
  <c r="D48" i="3" l="1"/>
  <c r="D49" i="3" l="1"/>
  <c r="D50" i="3" s="1"/>
  <c r="D51" i="3" s="1"/>
  <c r="D52" i="3" s="1"/>
  <c r="D53" i="3" s="1"/>
  <c r="D54" i="3" s="1"/>
  <c r="D55" i="3" s="1"/>
  <c r="D56" i="3" s="1"/>
  <c r="D57" i="3" s="1"/>
  <c r="D58" i="3" l="1"/>
  <c r="D59" i="3" s="1"/>
  <c r="D60" i="3" s="1"/>
  <c r="D61" i="3" s="1"/>
  <c r="D62" i="3" s="1"/>
  <c r="D63" i="3" s="1"/>
  <c r="D64" i="3" s="1"/>
  <c r="D65" i="3" s="1"/>
  <c r="D66" i="3" s="1"/>
  <c r="D67" i="3" s="1"/>
  <c r="D68" i="3" s="1"/>
  <c r="D69" i="3" s="1"/>
  <c r="D70" i="3" s="1"/>
  <c r="D71" i="3" s="1"/>
  <c r="E16" i="3" s="1"/>
  <c r="E18" i="3" s="1"/>
  <c r="E19" i="3" s="1"/>
  <c r="K20" i="3"/>
  <c r="K19" i="3"/>
  <c r="K21" i="3"/>
  <c r="K22" i="3"/>
  <c r="K23" i="3"/>
  <c r="K25" i="3"/>
  <c r="K24" i="3"/>
  <c r="E30" i="3" l="1"/>
  <c r="E32" i="3"/>
  <c r="E39" i="3"/>
  <c r="E35" i="3"/>
  <c r="E37" i="3"/>
  <c r="E126" i="3"/>
  <c r="E154" i="3"/>
  <c r="E179" i="3"/>
  <c r="E70" i="3"/>
  <c r="E58" i="3"/>
  <c r="E67" i="3"/>
  <c r="E53" i="3"/>
  <c r="E40" i="3"/>
  <c r="E97" i="3"/>
  <c r="E61" i="3"/>
  <c r="E48" i="3"/>
  <c r="E105" i="3"/>
  <c r="E133" i="3"/>
  <c r="E120" i="3"/>
  <c r="E84" i="3"/>
  <c r="E63" i="3"/>
  <c r="E187" i="3"/>
  <c r="E149" i="3"/>
  <c r="E136" i="3"/>
  <c r="E193" i="3"/>
  <c r="E182" i="3"/>
  <c r="E137" i="3"/>
  <c r="E190" i="3"/>
  <c r="E107" i="3"/>
  <c r="E148" i="3"/>
  <c r="E134" i="3"/>
  <c r="E170" i="3"/>
  <c r="E195" i="3"/>
  <c r="E117" i="3"/>
  <c r="E104" i="3"/>
  <c r="E161" i="3"/>
  <c r="E125" i="3"/>
  <c r="E112" i="3"/>
  <c r="E169" i="3"/>
  <c r="E197" i="3"/>
  <c r="E184" i="3"/>
  <c r="E91" i="3"/>
  <c r="E127" i="3"/>
  <c r="E140" i="3"/>
  <c r="E46" i="3"/>
  <c r="E200" i="3"/>
  <c r="E178" i="3"/>
  <c r="E79" i="3"/>
  <c r="E152" i="3"/>
  <c r="E153" i="3"/>
  <c r="E92" i="3"/>
  <c r="E108" i="3"/>
  <c r="E49" i="3"/>
  <c r="E199" i="3"/>
  <c r="E28" i="3"/>
  <c r="E62" i="3"/>
  <c r="E50" i="3"/>
  <c r="E173" i="3"/>
  <c r="E98" i="3"/>
  <c r="E167" i="3"/>
  <c r="E201" i="3"/>
  <c r="E41" i="3"/>
  <c r="E56" i="3"/>
  <c r="E166" i="3"/>
  <c r="E85" i="3"/>
  <c r="E129" i="3"/>
  <c r="E138" i="3"/>
  <c r="E87" i="3"/>
  <c r="E60" i="3"/>
  <c r="E177" i="3"/>
  <c r="E198" i="3"/>
  <c r="E123" i="3"/>
  <c r="E164" i="3"/>
  <c r="E181" i="3"/>
  <c r="E168" i="3"/>
  <c r="E83" i="3"/>
  <c r="E189" i="3"/>
  <c r="E176" i="3"/>
  <c r="E130" i="3"/>
  <c r="E94" i="3"/>
  <c r="E90" i="3"/>
  <c r="E163" i="3"/>
  <c r="E191" i="3"/>
  <c r="E57" i="3"/>
  <c r="E110" i="3"/>
  <c r="E122" i="3"/>
  <c r="E147" i="3"/>
  <c r="E143" i="3"/>
  <c r="E202" i="3"/>
  <c r="E55" i="3"/>
  <c r="E141" i="3"/>
  <c r="E185" i="3"/>
  <c r="E71" i="3"/>
  <c r="E93" i="3"/>
  <c r="E42" i="3"/>
  <c r="E29" i="3"/>
  <c r="E89" i="3"/>
  <c r="E206" i="3"/>
  <c r="E115" i="3"/>
  <c r="E155" i="3"/>
  <c r="E119" i="3"/>
  <c r="E205" i="3"/>
  <c r="E192" i="3"/>
  <c r="E135" i="3"/>
  <c r="E157" i="3"/>
  <c r="E45" i="3"/>
  <c r="E74" i="3"/>
  <c r="E96" i="3"/>
  <c r="E103" i="3"/>
  <c r="E116" i="3"/>
  <c r="E194" i="3"/>
  <c r="E102" i="3"/>
  <c r="E172" i="3"/>
  <c r="E54" i="3"/>
  <c r="E151" i="3"/>
  <c r="E188" i="3"/>
  <c r="E131" i="3"/>
  <c r="E95" i="3"/>
  <c r="E76" i="3"/>
  <c r="E114" i="3"/>
  <c r="E78" i="3"/>
  <c r="E66" i="3"/>
  <c r="E44" i="3"/>
  <c r="E86" i="3"/>
  <c r="E82" i="3"/>
  <c r="E99" i="3"/>
  <c r="E158" i="3"/>
  <c r="E51" i="3"/>
  <c r="E77" i="3"/>
  <c r="E64" i="3"/>
  <c r="E121" i="3"/>
  <c r="E174" i="3"/>
  <c r="E75" i="3"/>
  <c r="E132" i="3"/>
  <c r="E207" i="3"/>
  <c r="E36" i="3"/>
  <c r="E38" i="3"/>
  <c r="E81" i="3"/>
  <c r="E73" i="3"/>
  <c r="E159" i="3"/>
  <c r="E204" i="3"/>
  <c r="E180" i="3"/>
  <c r="E142" i="3"/>
  <c r="E186" i="3"/>
  <c r="E68" i="3"/>
  <c r="E150" i="3"/>
  <c r="E146" i="3"/>
  <c r="E171" i="3"/>
  <c r="E128" i="3"/>
  <c r="E203" i="3"/>
  <c r="E80" i="3"/>
  <c r="E101" i="3"/>
  <c r="E88" i="3"/>
  <c r="E145" i="3"/>
  <c r="E31" i="3"/>
  <c r="E196" i="3"/>
  <c r="E139" i="3"/>
  <c r="E47" i="3"/>
  <c r="E100" i="3"/>
  <c r="E124" i="3"/>
  <c r="E162" i="3"/>
  <c r="E156" i="3"/>
  <c r="E144" i="3"/>
  <c r="E165" i="3"/>
  <c r="E109" i="3"/>
  <c r="E34" i="3"/>
  <c r="E111" i="3"/>
  <c r="E183" i="3"/>
  <c r="E106" i="3"/>
  <c r="E65" i="3"/>
  <c r="E43" i="3"/>
  <c r="E160" i="3"/>
  <c r="E52" i="3"/>
  <c r="E33" i="3"/>
  <c r="E175" i="3"/>
  <c r="E69" i="3"/>
  <c r="E113" i="3"/>
  <c r="E59" i="3"/>
  <c r="E72" i="3"/>
  <c r="E118" i="3"/>
</calcChain>
</file>

<file path=xl/sharedStrings.xml><?xml version="1.0" encoding="utf-8"?>
<sst xmlns="http://schemas.openxmlformats.org/spreadsheetml/2006/main" count="211" uniqueCount="123">
  <si>
    <t xml:space="preserve">
BUDGET NOTES FOR ACTWATCH LITE STUDY</t>
  </si>
  <si>
    <t>This workbook provides step-by-step guidance to help users calculate and select an outlet sample for an ACTwatch Lite survey using probability proportional to size (PPS) sampling.</t>
  </si>
  <si>
    <t>OVERVIEW</t>
  </si>
  <si>
    <t>TOOL STRUCTURE</t>
  </si>
  <si>
    <t xml:space="preserve">This tool will prompt you through a series of inputs and calculations to identify the minimum sample size requirements for retail outlets needed to estimate key study indicators at your desired level of precision: </t>
  </si>
  <si>
    <t>TAB NAME</t>
  </si>
  <si>
    <t>Description</t>
  </si>
  <si>
    <t>1 INPUTS</t>
  </si>
  <si>
    <t>Input survey assumptions, target indicators, and known population parameters.</t>
  </si>
  <si>
    <t>2 CALC</t>
  </si>
  <si>
    <t>Auto-calculates required sample size and number of clusters based on inputs.</t>
  </si>
  <si>
    <t>3 PPS</t>
  </si>
  <si>
    <t>Generates a probability-based sample using uploaded sampling frame data.</t>
  </si>
  <si>
    <t>EXPECTED OUTPUTS</t>
  </si>
  <si>
    <t>- Minimum sample size required
- Number of clusters needed
- Selected PPS sample list (copy-paste ready for fieldwork tools)</t>
  </si>
  <si>
    <t>INSTRUCTIONS FOR USE</t>
  </si>
  <si>
    <r>
      <rPr>
        <b/>
        <sz val="10"/>
        <rFont val="Roboto Light"/>
      </rPr>
      <t>Prepare your sampling frame:</t>
    </r>
    <r>
      <rPr>
        <sz val="10"/>
        <rFont val="Roboto Light"/>
      </rPr>
      <t xml:space="preserve">
Collect a list of administrative units (e.g., wards or aire de sante) and associated population data. This should be saved as a separate Excel or CSV file and relevant columns copied here for use in the PPS selection step.
</t>
    </r>
  </si>
  <si>
    <r>
      <t xml:space="preserve">
</t>
    </r>
    <r>
      <rPr>
        <b/>
        <sz val="10"/>
        <rFont val="Roboto Light"/>
      </rPr>
      <t>Check Tab 2 – CALC:</t>
    </r>
    <r>
      <rPr>
        <sz val="10"/>
        <rFont val="Roboto Light"/>
      </rPr>
      <t xml:space="preserve">
- The tool will automatically calculate the required sample size, number of clusters, and outlets per cluster based on calculations made in the previous tab. 
- The estimated number of each outlet type required to achieve your desired precision will appear in cell D6. 
- If your study includes strata, a table will be automatically generated to display the minimum number of primary sampling units required to achieve the required sample size in each stratum beginning in row 10. 
- Review and adjust assumptions if needed.
</t>
    </r>
  </si>
  <si>
    <t xml:space="preserve"> ASSUMPTIONS</t>
  </si>
  <si>
    <r>
      <t>Follow each step presented below.</t>
    </r>
    <r>
      <rPr>
        <b/>
        <i/>
        <sz val="12"/>
        <color theme="8"/>
        <rFont val="Roboto Light"/>
      </rPr>
      <t xml:space="preserve"> 
</t>
    </r>
    <r>
      <rPr>
        <b/>
        <sz val="12"/>
        <rFont val="Roboto Light"/>
      </rPr>
      <t>Fill in information in each of the yellow highlighted cells.</t>
    </r>
    <r>
      <rPr>
        <b/>
        <i/>
        <sz val="12"/>
        <color theme="8"/>
        <rFont val="Roboto Light"/>
      </rPr>
      <t xml:space="preserve"> 
Example or reference information is in purple.</t>
    </r>
  </si>
  <si>
    <r>
      <rPr>
        <b/>
        <sz val="12"/>
        <rFont val="Roboto Light"/>
      </rPr>
      <t>Fill in information in each of the yellow highlighted cells.</t>
    </r>
    <r>
      <rPr>
        <b/>
        <i/>
        <sz val="12"/>
        <color theme="8"/>
        <rFont val="Roboto Light"/>
      </rPr>
      <t xml:space="preserve"> </t>
    </r>
  </si>
  <si>
    <t>Example or reference information is in purple.</t>
  </si>
  <si>
    <t>STEP 1:</t>
  </si>
  <si>
    <t>Before using this tool, you should be able to answer "yes" to the following questions:</t>
  </si>
  <si>
    <t>Yes?</t>
  </si>
  <si>
    <t>1.1 Have you established what level of geographic coverage, and level of representativeness you require for this study?</t>
  </si>
  <si>
    <r>
      <rPr>
        <i/>
        <sz val="8"/>
        <color theme="8"/>
        <rFont val="Roboto Light"/>
      </rPr>
      <t xml:space="preserve">For the purposes of estimating a sample size, ACTwatch Lite's primary sampling unit is a geographic area with 10-15k population. These are typically called "wards", "aires de santé", or "commune". </t>
    </r>
    <r>
      <rPr>
        <i/>
        <sz val="12"/>
        <color theme="1"/>
        <rFont val="Roboto Light"/>
      </rPr>
      <t xml:space="preserve">
</t>
    </r>
  </si>
  <si>
    <t xml:space="preserve">NOTE !!! The PPS method is only as reliable as the accuracy of the population estimates used.  Outdated or inaccurate data could bias cluster selection. Validate population data before use to ensure accuracy e.g by cross-checking different sources </t>
  </si>
  <si>
    <t xml:space="preserve">1.3 Have you established whether you need to stratify your sample (e.g. By urbanicity, or some other characteristic)?
</t>
  </si>
  <si>
    <t>STEP 2:</t>
  </si>
  <si>
    <t>Once all questions are checked, please proceed to the next steps below:</t>
  </si>
  <si>
    <t>Type your answers below:</t>
  </si>
  <si>
    <t>2.1 What is the name used for the clusters, or primary sampling unit, that will be used for this study (i.e. administrative or otherwise delininated areas with a population of approximatly 10-15k)? List here:</t>
  </si>
  <si>
    <t>2.2 If this study will be stratified by higher administrative units, list these here (e.g. if the study is conducted in 5 states and not nationally representative -- list 5 states here):</t>
  </si>
  <si>
    <t>[strata 1 e.g. state 1]</t>
  </si>
  <si>
    <t>[strata 2 e.g. state 2]</t>
  </si>
  <si>
    <t>[strata 3 e.g. state 3]</t>
  </si>
  <si>
    <t>[strata 4 e.g. state 4]</t>
  </si>
  <si>
    <t>[strata 5 e.g. state 5]</t>
  </si>
  <si>
    <r>
      <t xml:space="preserve">2.3 Which are the key outlets you would like to base your sample size on? (LIST BELOW)
</t>
    </r>
    <r>
      <rPr>
        <sz val="12"/>
        <color rgb="FFFF0000"/>
        <rFont val="Roboto Light"/>
      </rPr>
      <t>IF THERE ARE MORE THEN 7 OUTLET TYPES, ADD ROWS HERE AND COLUMNS WITH COPIED FORMULA IN THE TABLE BELOW (2.4)</t>
    </r>
  </si>
  <si>
    <t>[outlet type 1 e.g. pharmacy]</t>
  </si>
  <si>
    <t>[outlet type 1 e.g. hospital]</t>
  </si>
  <si>
    <t>[outlet type 1 e.g. lab]</t>
  </si>
  <si>
    <t>[outlet type 1 e.g. drug shop]</t>
  </si>
  <si>
    <t xml:space="preserve">STEP 3: </t>
  </si>
  <si>
    <t>Complete the following information (consult a statistician or use default values if uncertain)</t>
  </si>
  <si>
    <t>3.1 Confidence level (95% is default)</t>
  </si>
  <si>
    <t>3.2 Margin of error (5% is default)</t>
  </si>
  <si>
    <t>3.3 Population proportion (50% if unsure)</t>
  </si>
  <si>
    <t>3.4 Population size (leave blank if unsure)</t>
  </si>
  <si>
    <t>3.5 Design effect (default=2; increase if you are using a cluster sample)</t>
  </si>
  <si>
    <t>3.6 Non-response rate</t>
  </si>
  <si>
    <t xml:space="preserve">STEP 4: </t>
  </si>
  <si>
    <t>Go to the next tab (CALC) to see the sample size estimates</t>
  </si>
  <si>
    <t>&gt;&gt;&gt;&gt;&gt;&gt;&gt;&gt;&gt;&gt;&gt;&gt;</t>
  </si>
  <si>
    <t>Sample size estimates</t>
  </si>
  <si>
    <t>The estimated number of each outlet type (listed in step 2.3) 
required to achieve desired sampling precision:</t>
  </si>
  <si>
    <t>Stratum:</t>
  </si>
  <si>
    <t xml:space="preserve">STEP 5: </t>
  </si>
  <si>
    <t xml:space="preserve">Go to the next tab (PPS INSTRUCTIONS) </t>
  </si>
  <si>
    <t>STEP 5: Complete the following steps to use the Probability Proportional to Size (PPS) sample template</t>
  </si>
  <si>
    <t>The PPS tab is a template for a Probability Proportional to Size (PPS) sample. In order to design a PPS sample, you will need to have population data at relevant administrative units for the study areas (country/ sub-national areas). A complete list of lower level administrative units is also required.</t>
  </si>
  <si>
    <t>5.1 List the primary sampling units along with their population sizes in Columns A-C in the table below (Row 20). Each cluster has a specific population size.</t>
  </si>
  <si>
    <t>5.2 The template will calculate cumulative population, SI, and RS to identify which clusters to select; Type the RS in to row 20 to complete other tables.</t>
  </si>
  <si>
    <t>Strata for PPS:</t>
  </si>
  <si>
    <t>The stratum name is pulled form A23 below. Update table 5.1 for each strata to get seperate results for each, where applicable</t>
  </si>
  <si>
    <r>
      <t>The cumulative population size</t>
    </r>
    <r>
      <rPr>
        <sz val="9"/>
        <color rgb="FF000000"/>
        <rFont val="Roboto Light"/>
      </rPr>
      <t xml:space="preserve"> will calculate in Column D. The last value in Column D represents the </t>
    </r>
    <r>
      <rPr>
        <b/>
        <sz val="9"/>
        <color rgb="FF000000"/>
        <rFont val="Roboto Light"/>
      </rPr>
      <t>Total Population.</t>
    </r>
  </si>
  <si>
    <t>Total population</t>
  </si>
  <si>
    <t>(5.2) Create numerical list up to the value of the number of clusters to select from cell E12</t>
  </si>
  <si>
    <r>
      <t xml:space="preserve">Determine the number of clusters (#) </t>
    </r>
    <r>
      <rPr>
        <sz val="9"/>
        <color rgb="FF000000"/>
        <rFont val="Roboto Light"/>
      </rPr>
      <t xml:space="preserve"> to be sampled.</t>
    </r>
  </si>
  <si>
    <t>Number clusters to select</t>
  </si>
  <si>
    <t>Selected clusters (#)</t>
  </si>
  <si>
    <t>random id</t>
  </si>
  <si>
    <t>corresponding cluster</t>
  </si>
  <si>
    <r>
      <t>Calculate the Sampling Interval (SI)</t>
    </r>
    <r>
      <rPr>
        <sz val="9"/>
        <color theme="1"/>
        <rFont val="Roboto Light"/>
      </rPr>
      <t xml:space="preserve"> by dividing the total population by the number of clusters to be sampled.</t>
    </r>
  </si>
  <si>
    <t>Sampling interval</t>
  </si>
  <si>
    <t>------</t>
  </si>
  <si>
    <r>
      <t>Select a Random Start (RS):</t>
    </r>
    <r>
      <rPr>
        <sz val="9"/>
        <color rgb="FF000000"/>
        <rFont val="Roboto Light"/>
      </rPr>
      <t xml:space="preserve"> Choose a random number between 1 and SI. The first cluster to be sampled will be the one whose cumulative population (Column D) contains this number. </t>
    </r>
  </si>
  <si>
    <t>Auto-generated random starting number (changes each time you open the workbook)</t>
  </si>
  <si>
    <t xml:space="preserve">Type (don’t copy/paste) the random number from cell E14 here that will be used for the sampling: </t>
  </si>
  <si>
    <t>5.3 Selected clusters are identified in column E below</t>
  </si>
  <si>
    <t xml:space="preserve">(5.1) Insert administrative units and population per cluster here: </t>
  </si>
  <si>
    <t>Column A</t>
  </si>
  <si>
    <t>Column B</t>
  </si>
  <si>
    <t>Column C</t>
  </si>
  <si>
    <t>Column D</t>
  </si>
  <si>
    <t>Column E</t>
  </si>
  <si>
    <t>Stratum</t>
  </si>
  <si>
    <t>Cluster/ Study area</t>
  </si>
  <si>
    <t>Population</t>
  </si>
  <si>
    <t>Cumulative population</t>
  </si>
  <si>
    <t>Selected for PPS sample?</t>
  </si>
  <si>
    <t>Cluster 1</t>
  </si>
  <si>
    <t>Cluster 2</t>
  </si>
  <si>
    <t>Cluster 3</t>
  </si>
  <si>
    <t>Cluster 4</t>
  </si>
  <si>
    <t>Cluster 5</t>
  </si>
  <si>
    <t>Cluster 6</t>
  </si>
  <si>
    <t>Cluster 7</t>
  </si>
  <si>
    <t>Cluster 8</t>
  </si>
  <si>
    <t>Cluster 9</t>
  </si>
  <si>
    <t>Cluster 10</t>
  </si>
  <si>
    <t>Cluster 11</t>
  </si>
  <si>
    <t>Cluster 12</t>
  </si>
  <si>
    <t>Cluster 13</t>
  </si>
  <si>
    <t>Cluster 14</t>
  </si>
  <si>
    <t>Cluster 15</t>
  </si>
  <si>
    <t>Cluster 16</t>
  </si>
  <si>
    <t>Cluster 17</t>
  </si>
  <si>
    <t>Cluster 18</t>
  </si>
  <si>
    <t>Cluster 19</t>
  </si>
  <si>
    <t>Cluster 20</t>
  </si>
  <si>
    <t>Cluster 21</t>
  </si>
  <si>
    <t>Cluster 22</t>
  </si>
  <si>
    <t xml:space="preserve">ACTwatch LITE Sampling Tool </t>
  </si>
  <si>
    <t>!!! REPEAT STEPS FOR EACH STRATA WHERE APPLICABLE !!!</t>
  </si>
  <si>
    <r>
      <rPr>
        <b/>
        <sz val="10"/>
        <rFont val="Roboto Light"/>
      </rPr>
      <t xml:space="preserve">Use Tab 3 – PPS:
</t>
    </r>
    <r>
      <rPr>
        <sz val="10"/>
        <rFont val="Roboto Light"/>
      </rPr>
      <t xml:space="preserve">The PPS tab is a template generating a PPS sample for *one strata at a time (i.e. if study is not national)* 
- Start by pasting your cleaned sampling frame (primary sampling unit names along with their corresponding population size)  in Columns A-C of the main table (Beginning in cell A21).
- In cell E15, type the random number you see in cell E14 that will be used for the sampling (otherwise the number will keep changing each time you open or edit the workbook).
- In the table beginning in I12, manually create a numerical list with the number of clusters corresponding to the value automatically generated in cell E12 (in the provided example, the value is 7, so we manually typed the numbers 1-7 descending from cell I14 to I21). 
- Doing so will prompt the main table (Beginning in cell A21) to select the final list of clusters for your PPS sample. Selected clusters are indicated as those in the rows with green "Yes" values in column E.
- Copy+Paste your final sampling results for the given Stratum (table 5.2) as plain text in to a new tab and label with the stratum name (we have provided a reference 'example Urban North' tab in this tool)
</t>
    </r>
    <r>
      <rPr>
        <b/>
        <sz val="10"/>
        <rFont val="Roboto Light"/>
      </rPr>
      <t>Repeat Tab 3 steps for each Strata</t>
    </r>
  </si>
  <si>
    <r>
      <rPr>
        <b/>
        <sz val="10"/>
        <rFont val="Roboto Light"/>
      </rPr>
      <t>Go to Tab 1 – INPUTS:</t>
    </r>
    <r>
      <rPr>
        <sz val="10"/>
        <rFont val="Roboto Light"/>
      </rPr>
      <t xml:space="preserve">
- Use the checklist to ensure you have access to all relevant information (or are able to make sensible estimates) for key inputs in this tab. 
- Enter the country and study details: input key data to calibrate the tool with the information necessary to calculate your sample. You will first be prompted to enter the name of the administrative unit containing a population of 10-15k people, stratum you wish the sample should include, and key outlet types that the sample should be based upon. 
- The tool will then automatically generate a table, which must be filled out with the number of each outlet type in each stratum.
- Input assumptions and statistical variables such as desired confidence level, margin of error, population proportion, population size, design effect, and non-response/ refusal rate. If you do not know one or more of these variables, you may maintain the default values (Default calculations assume a 95% confidence level, 5% margin of error, 50% population proportion, a design effect of 2 and non-response rate of 5%. However, please adjust as required according to the specific requirements of your study) </t>
    </r>
  </si>
  <si>
    <t xml:space="preserve">1.2 Do you have a complete listing of all administrative units (i.e. clusters) of 10-15k population in size in the study areas/ nationally, including their population sizes?
</t>
  </si>
  <si>
    <t>1.4 Do you have data, or estimates, of the number of key private sector outlets per 10-15k population administrative unit (cluster)?</t>
  </si>
  <si>
    <t>[cluster name e.g. ward, arrondissement, etc]</t>
  </si>
  <si>
    <t>This tool uses a standard sample size formula for estimating precision, and a probability proportional to size (PPS) approach to support users in determining the required sample size and selecting study areas/clusters to be censused. The PPS method helps ensure that the likelihood of inclusion of a geographic area in the study is relative to the size of its population. It has been designed for use in ACTwatch Lite studies, where sampling must account for varying cluster sizes and outlet distributions.
The main sampling approach adopted for ACTwatch Lite surveys is to sample a set of administrative units (geographical clusters) with a corresponding population of around 10,000 to 15,000 inhabitants. Sampling units may be administrative (the name varies by context, but might be called "wards", "arrondissements", "LGAs", etc. ) or custom-defined zones used in the field.
Before using the tool, make sure that your team has established their desired levels of geographic coverage and study representativeness (i.e. nationally, subnationally, or other level); possesses a complete list of geographic clusters and populations within study boundaries; determined if, and by which variable(s), the sample will be stratified; and possesses data or estimates on the number of key private sector outlets in each geographic cluster, for each stratum.
Note that this tool is designed for the primary (retail outlet) sample. The sampling for wholesalers is based on data collected from the retail outlet sample, and so is not considered in this tool.</t>
  </si>
  <si>
    <r>
      <t xml:space="preserve">- The tool assumes that all eligible outlets in selected clusters will be visited.
- This tool does not account for longitudinal data collection, or for more complex multistage cluster samples which may be more suitable for some study designs. Consult a statistician for these alternative approaches.
- This approach assumes that population and outlet count within a given area are positively correlated
- This tool should act as a guide, but will require adaptation to the specific study design you are implementing. 
</t>
    </r>
    <r>
      <rPr>
        <sz val="10"/>
        <color rgb="FFC00000"/>
        <rFont val="Roboto Light"/>
      </rPr>
      <t>LIST ADDITIONAL ASUMPTIONS FOR YOUR COUNTRY/ IMPLEMENTATION HERE. CONSIDER: 
- Simple random sampling of geographic units for the study from higher level clusters
- Design effect to account for clustering
- Target precision and confidence level should align with your study objectives
- Adjustments for non-response are built in (adjust as needed)</t>
    </r>
    <r>
      <rPr>
        <sz val="10"/>
        <rFont val="Roboto Light"/>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</si>
</sst>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1" x14ac:knownFonts="1">
    <font>
      <sz val="12"/>
      <color theme="1"/>
      <name val="Aptos Narrow"/>
      <family val="2"/>
      <scheme val="minor"/>
    </font>
    <font>
      <sz val="11"/>
      <color theme="1"/>
      <name val="Aptos Narrow"/>
      <family val="2"/>
      <scheme val="minor"/>
    </font>
    <font>
      <sz val="11"/>
      <color theme="1"/>
      <name val="Aptos Narrow"/>
      <family val="2"/>
      <scheme val="minor"/>
    </font>
    <font>
      <sz val="8"/>
      <name val="Aptos Narrow"/>
      <family val="2"/>
      <scheme val="minor"/>
    </font>
    <font>
      <b/>
      <sz val="14"/>
      <color theme="1"/>
      <name val="Poppins"/>
    </font>
    <font>
      <sz val="10"/>
      <color theme="1"/>
      <name val="Roboto Light"/>
    </font>
    <font>
      <sz val="8"/>
      <color theme="1"/>
      <name val="Roboto Light"/>
    </font>
    <font>
      <sz val="8"/>
      <color theme="1"/>
      <name val="Aptos Narrow"/>
      <family val="2"/>
      <scheme val="minor"/>
    </font>
    <font>
      <b/>
      <sz val="10"/>
      <color theme="1"/>
      <name val="Roboto Light"/>
    </font>
    <font>
      <b/>
      <sz val="10"/>
      <color rgb="FFFFFFFF"/>
      <name val="Roboto Light"/>
    </font>
    <font>
      <b/>
      <sz val="8"/>
      <color rgb="FFFFFFFF"/>
      <name val="Roboto Light"/>
    </font>
    <font>
      <b/>
      <sz val="10"/>
      <color rgb="FF000000"/>
      <name val="Roboto Light"/>
    </font>
    <font>
      <sz val="12"/>
      <color theme="1"/>
      <name val="Roboto Light"/>
    </font>
    <font>
      <b/>
      <sz val="12"/>
      <color theme="1"/>
      <name val="Roboto Light"/>
    </font>
    <font>
      <i/>
      <sz val="12"/>
      <color theme="1"/>
      <name val="Roboto Light"/>
    </font>
    <font>
      <b/>
      <sz val="12"/>
      <color theme="1"/>
      <name val="Roboto"/>
    </font>
    <font>
      <i/>
      <sz val="12"/>
      <color theme="8"/>
      <name val="Roboto Light"/>
    </font>
    <font>
      <i/>
      <sz val="8"/>
      <color theme="8"/>
      <name val="Roboto Light"/>
    </font>
    <font>
      <sz val="11"/>
      <color theme="1"/>
      <name val="Roboto Light"/>
    </font>
    <font>
      <b/>
      <sz val="11"/>
      <color theme="1"/>
      <name val="Roboto"/>
    </font>
    <font>
      <b/>
      <sz val="12"/>
      <color rgb="FF000000"/>
      <name val="Roboto"/>
    </font>
    <font>
      <b/>
      <sz val="11"/>
      <color rgb="FF000000"/>
      <name val="Roboto Light"/>
    </font>
    <font>
      <sz val="11"/>
      <name val="Roboto Light"/>
    </font>
    <font>
      <sz val="11"/>
      <color rgb="FFFF0000"/>
      <name val="Roboto Light"/>
    </font>
    <font>
      <b/>
      <sz val="11"/>
      <color theme="0"/>
      <name val="Roboto Light"/>
    </font>
    <font>
      <b/>
      <sz val="9"/>
      <color rgb="FF000000"/>
      <name val="Roboto Light"/>
    </font>
    <font>
      <sz val="9"/>
      <color rgb="FF000000"/>
      <name val="Roboto Light"/>
    </font>
    <font>
      <b/>
      <sz val="9"/>
      <color theme="1"/>
      <name val="Roboto Light"/>
    </font>
    <font>
      <sz val="9"/>
      <color theme="1"/>
      <name val="Roboto Light"/>
    </font>
    <font>
      <b/>
      <sz val="11"/>
      <name val="Roboto Light"/>
    </font>
    <font>
      <b/>
      <sz val="11"/>
      <color rgb="FF000000"/>
      <name val="Roboto"/>
    </font>
    <font>
      <b/>
      <i/>
      <sz val="14"/>
      <color theme="1"/>
      <name val="Roboto"/>
    </font>
    <font>
      <b/>
      <i/>
      <sz val="12"/>
      <color theme="8"/>
      <name val="Roboto"/>
    </font>
    <font>
      <b/>
      <sz val="11"/>
      <color theme="1"/>
      <name val="Roboto Light"/>
    </font>
    <font>
      <b/>
      <i/>
      <sz val="12"/>
      <color theme="8"/>
      <name val="Roboto Light"/>
    </font>
    <font>
      <b/>
      <sz val="12"/>
      <name val="Roboto Light"/>
    </font>
    <font>
      <b/>
      <sz val="14"/>
      <color theme="0"/>
      <name val="Roboto Light"/>
    </font>
    <font>
      <sz val="10"/>
      <name val="Roboto Light"/>
    </font>
    <font>
      <sz val="10"/>
      <color rgb="FFC00000"/>
      <name val="Roboto Light"/>
    </font>
    <font>
      <sz val="10"/>
      <color rgb="FF000000"/>
      <name val="Roboto Light"/>
    </font>
    <font>
      <b/>
      <sz val="10"/>
      <name val="Roboto Light"/>
    </font>
    <font>
      <i/>
      <sz val="9"/>
      <color rgb="FFFF0000"/>
      <name val="Roboto Light"/>
    </font>
    <font>
      <sz val="12"/>
      <color rgb="FFFF0000"/>
      <name val="Roboto Light"/>
    </font>
    <font>
      <i/>
      <sz val="12"/>
      <name val="Roboto Light"/>
    </font>
    <font>
      <i/>
      <sz val="8"/>
      <color theme="8" tint="-0.499984740745262"/>
      <name val="Roboto Light"/>
    </font>
    <font>
      <b/>
      <sz val="12"/>
      <color theme="0"/>
      <name val="Roboto"/>
    </font>
    <font>
      <sz val="12"/>
      <color theme="0"/>
      <name val="Roboto Light"/>
    </font>
    <font>
      <b/>
      <sz val="14"/>
      <color theme="0"/>
      <name val="Roboto"/>
    </font>
    <font>
      <sz val="14"/>
      <color theme="0"/>
      <name val="Roboto Light"/>
    </font>
    <font>
      <b/>
      <i/>
      <sz val="11"/>
      <color theme="8" tint="-0.499984740745262"/>
      <name val="Roboto"/>
    </font>
    <font>
      <sz val="12"/>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8FC7C7"/>
        <bgColor indexed="64"/>
      </patternFill>
    </fill>
    <fill>
      <patternFill patternType="solid">
        <fgColor rgb="FFE8F3F3"/>
        <bgColor indexed="64"/>
      </patternFill>
    </fill>
    <fill>
      <patternFill patternType="solid">
        <fgColor theme="1" tint="0.499984740745262"/>
        <bgColor indexed="64"/>
      </patternFill>
    </fill>
    <fill>
      <patternFill patternType="solid">
        <fgColor theme="3"/>
        <bgColor indexed="64"/>
      </patternFill>
    </fill>
    <fill>
      <patternFill patternType="solid">
        <fgColor theme="6"/>
        <bgColor indexed="64"/>
      </patternFill>
    </fill>
    <fill>
      <patternFill patternType="solid">
        <fgColor rgb="FFFFFF00"/>
        <bgColor indexed="64"/>
      </patternFill>
    </fill>
    <fill>
      <patternFill patternType="solid">
        <fgColor theme="9"/>
        <bgColor indexed="64"/>
      </patternFill>
    </fill>
  </fills>
  <borders count="12">
    <border>
      <left/>
      <right/>
      <top/>
      <bottom/>
      <diagonal/>
    </border>
    <border>
      <left style="medium">
        <color rgb="FF8FC7C7"/>
      </left>
      <right/>
      <top style="medium">
        <color rgb="FF8FC7C7"/>
      </top>
      <bottom style="medium">
        <color rgb="FF8FC7C7"/>
      </bottom>
      <diagonal/>
    </border>
    <border>
      <left/>
      <right style="medium">
        <color rgb="FF8FC7C7"/>
      </right>
      <top style="medium">
        <color rgb="FF8FC7C7"/>
      </top>
      <bottom style="medium">
        <color rgb="FF8FC7C7"/>
      </bottom>
      <diagonal/>
    </border>
    <border>
      <left style="medium">
        <color rgb="FFBBDDDD"/>
      </left>
      <right style="medium">
        <color rgb="FFBBDDDD"/>
      </right>
      <top style="medium">
        <color rgb="FF8FC7C7"/>
      </top>
      <bottom/>
      <diagonal/>
    </border>
    <border>
      <left/>
      <right style="medium">
        <color rgb="FFBBDDDD"/>
      </right>
      <top/>
      <bottom/>
      <diagonal/>
    </border>
    <border>
      <left style="medium">
        <color rgb="FFBBDDDD"/>
      </left>
      <right style="medium">
        <color rgb="FFBBDDDD"/>
      </right>
      <top/>
      <bottom style="medium">
        <color rgb="FFBBDDDD"/>
      </bottom>
      <diagonal/>
    </border>
    <border>
      <left/>
      <right style="medium">
        <color rgb="FFBBDDDD"/>
      </right>
      <top/>
      <bottom style="medium">
        <color rgb="FFBBDDDD"/>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top/>
      <bottom style="thin">
        <color theme="2" tint="-9.9948118533890809E-2"/>
      </bottom>
      <diagonal/>
    </border>
    <border>
      <left/>
      <right/>
      <top style="thin">
        <color theme="2" tint="-9.9948118533890809E-2"/>
      </top>
      <bottom style="thin">
        <color theme="2" tint="-9.9948118533890809E-2"/>
      </bottom>
      <diagonal/>
    </border>
    <border>
      <left/>
      <right/>
      <top style="thin">
        <color theme="2" tint="-9.9948118533890809E-2"/>
      </top>
      <bottom/>
      <diagonal/>
    </border>
    <border>
      <left style="thin">
        <color theme="2" tint="-9.9978637043366805E-2"/>
      </left>
      <right/>
      <top/>
      <bottom/>
      <diagonal/>
    </border>
  </borders>
  <cellStyleXfs count="4">
    <xf numFmtId="0" fontId="0" fillId="0" borderId="0"/>
    <xf numFmtId="0" fontId="2" fillId="0" borderId="0"/>
    <xf numFmtId="0" fontId="1" fillId="0" borderId="0"/>
    <xf numFmtId="9" fontId="50" fillId="0" borderId="0" applyFont="0" applyFill="0" applyBorder="0" applyAlignment="0" applyProtection="0"/>
  </cellStyleXfs>
  <cellXfs count="130">
    <xf numFmtId="0" fontId="0" fillId="0" borderId="0" xfId="0"/>
    <xf numFmtId="0" fontId="4" fillId="5" borderId="0" xfId="1" applyFont="1" applyFill="1" applyAlignment="1">
      <alignment vertical="top" wrapText="1"/>
    </xf>
    <xf numFmtId="0" fontId="5" fillId="5" borderId="0" xfId="1" applyFont="1" applyFill="1" applyAlignment="1">
      <alignment vertical="top" wrapText="1"/>
    </xf>
    <xf numFmtId="0" fontId="4" fillId="0" borderId="0" xfId="1" applyFont="1" applyAlignment="1">
      <alignment vertical="top" wrapText="1"/>
    </xf>
    <xf numFmtId="0" fontId="9" fillId="6" borderId="1" xfId="1" applyFont="1" applyFill="1" applyBorder="1" applyAlignment="1">
      <alignment horizontal="left" vertical="top" wrapText="1"/>
    </xf>
    <xf numFmtId="0" fontId="10" fillId="6" borderId="2" xfId="1" applyFont="1" applyFill="1" applyBorder="1" applyAlignment="1">
      <alignment horizontal="left" vertical="top" wrapText="1"/>
    </xf>
    <xf numFmtId="0" fontId="11" fillId="7" borderId="3" xfId="1" applyFont="1" applyFill="1" applyBorder="1" applyAlignment="1">
      <alignment horizontal="left" vertical="top" wrapText="1"/>
    </xf>
    <xf numFmtId="0" fontId="8" fillId="0" borderId="5" xfId="1" applyFont="1" applyBorder="1" applyAlignment="1">
      <alignment horizontal="left" vertical="top" wrapText="1"/>
    </xf>
    <xf numFmtId="0" fontId="11" fillId="7" borderId="5" xfId="1" applyFont="1" applyFill="1" applyBorder="1" applyAlignment="1">
      <alignment horizontal="left" vertical="top" wrapText="1"/>
    </xf>
    <xf numFmtId="0" fontId="12" fillId="2" borderId="0" xfId="0" applyFont="1" applyFill="1" applyAlignment="1">
      <alignment vertical="top"/>
    </xf>
    <xf numFmtId="0" fontId="12" fillId="8" borderId="0" xfId="0" applyFont="1" applyFill="1" applyAlignment="1">
      <alignment vertical="top"/>
    </xf>
    <xf numFmtId="0" fontId="15" fillId="8" borderId="0" xfId="0" applyFont="1" applyFill="1" applyAlignment="1">
      <alignment vertical="top"/>
    </xf>
    <xf numFmtId="0" fontId="12" fillId="8" borderId="0" xfId="0" applyFont="1" applyFill="1" applyAlignment="1">
      <alignment vertical="top" wrapText="1"/>
    </xf>
    <xf numFmtId="0" fontId="12" fillId="0" borderId="0" xfId="0" applyFont="1" applyAlignment="1">
      <alignment vertical="top"/>
    </xf>
    <xf numFmtId="0" fontId="12" fillId="0" borderId="0" xfId="0" applyFont="1" applyAlignment="1">
      <alignment vertical="top" wrapText="1"/>
    </xf>
    <xf numFmtId="0" fontId="13" fillId="0" borderId="0" xfId="0" applyFont="1" applyAlignment="1">
      <alignment vertical="top"/>
    </xf>
    <xf numFmtId="0" fontId="12" fillId="4" borderId="7" xfId="0" applyFont="1" applyFill="1" applyBorder="1" applyAlignment="1">
      <alignment vertical="top"/>
    </xf>
    <xf numFmtId="0" fontId="12" fillId="0" borderId="0" xfId="0" applyFont="1" applyAlignment="1">
      <alignment horizontal="left" vertical="top"/>
    </xf>
    <xf numFmtId="0" fontId="16" fillId="4" borderId="7" xfId="0" applyFont="1" applyFill="1" applyBorder="1" applyAlignment="1">
      <alignment horizontal="left" vertical="top"/>
    </xf>
    <xf numFmtId="0" fontId="12" fillId="4" borderId="7" xfId="0" applyFont="1" applyFill="1" applyBorder="1" applyAlignment="1">
      <alignment horizontal="left" vertical="top"/>
    </xf>
    <xf numFmtId="0" fontId="12" fillId="8" borderId="0" xfId="0" applyFont="1" applyFill="1" applyAlignment="1">
      <alignment horizontal="left" vertical="top"/>
    </xf>
    <xf numFmtId="0" fontId="18" fillId="0" borderId="0" xfId="0" applyFont="1"/>
    <xf numFmtId="0" fontId="18" fillId="0" borderId="0" xfId="0" applyFont="1" applyAlignment="1">
      <alignment wrapText="1"/>
    </xf>
    <xf numFmtId="0" fontId="18" fillId="8" borderId="0" xfId="0" applyFont="1" applyFill="1"/>
    <xf numFmtId="0" fontId="15" fillId="8" borderId="0" xfId="0" applyFont="1" applyFill="1" applyAlignment="1">
      <alignment vertical="center"/>
    </xf>
    <xf numFmtId="0" fontId="13" fillId="0" borderId="0" xfId="0" applyFont="1" applyAlignment="1">
      <alignment vertical="center"/>
    </xf>
    <xf numFmtId="0" fontId="13" fillId="0" borderId="0" xfId="0" applyFont="1" applyAlignment="1">
      <alignment horizontal="left" vertical="center"/>
    </xf>
    <xf numFmtId="0" fontId="23" fillId="0" borderId="0" xfId="0" applyFont="1"/>
    <xf numFmtId="0" fontId="18" fillId="0" borderId="7" xfId="0" applyFont="1" applyBorder="1" applyAlignment="1">
      <alignment horizontal="left" vertical="top"/>
    </xf>
    <xf numFmtId="0" fontId="15" fillId="0" borderId="0" xfId="0" applyFont="1" applyAlignment="1">
      <alignment horizontal="left" vertical="center"/>
    </xf>
    <xf numFmtId="0" fontId="25" fillId="0" borderId="0" xfId="0" applyFont="1" applyAlignment="1">
      <alignment wrapText="1"/>
    </xf>
    <xf numFmtId="0" fontId="30" fillId="0" borderId="0" xfId="0" applyFont="1" applyAlignment="1">
      <alignment horizontal="left" vertical="top" wrapText="1"/>
    </xf>
    <xf numFmtId="0" fontId="18" fillId="3" borderId="7" xfId="0" applyFont="1" applyFill="1" applyBorder="1" applyAlignment="1">
      <alignment horizontal="center"/>
    </xf>
    <xf numFmtId="0" fontId="15" fillId="0" borderId="0" xfId="0" applyFont="1" applyAlignment="1">
      <alignment vertical="top"/>
    </xf>
    <xf numFmtId="0" fontId="15" fillId="0" borderId="0" xfId="0" applyFont="1" applyAlignment="1">
      <alignment vertical="center"/>
    </xf>
    <xf numFmtId="0" fontId="15" fillId="0" borderId="0" xfId="0" applyFont="1" applyAlignment="1">
      <alignment vertical="center" wrapText="1"/>
    </xf>
    <xf numFmtId="0" fontId="15" fillId="0" borderId="0" xfId="0" applyFont="1" applyAlignment="1">
      <alignment vertical="top" wrapText="1"/>
    </xf>
    <xf numFmtId="0" fontId="12" fillId="0" borderId="0" xfId="0" applyFont="1" applyAlignment="1">
      <alignment horizontal="left" vertical="top"/>
      <extLst>
        <ext xmlns:xfpb="http://schemas.microsoft.com/office/spreadsheetml/2022/featurepropertybag" uri="{C7286773-470A-42A8-94C5-96B5CB345126}">
          <xfpb:xfComplement i="0"/>
        </ext>
      </extLst>
    </xf>
    <xf numFmtId="0" fontId="14" fillId="0" borderId="8" xfId="0" applyFont="1" applyBorder="1" applyAlignment="1">
      <alignment vertical="top" wrapText="1"/>
    </xf>
    <xf numFmtId="0" fontId="15" fillId="0" borderId="8" xfId="0" applyFont="1" applyBorder="1" applyAlignment="1">
      <alignment vertical="center"/>
    </xf>
    <xf numFmtId="0" fontId="12" fillId="0" borderId="8" xfId="0" applyFont="1" applyBorder="1" applyAlignment="1">
      <alignment horizontal="left" vertical="top"/>
    </xf>
    <xf numFmtId="0" fontId="12" fillId="0" borderId="9" xfId="0" applyFont="1" applyBorder="1" applyAlignment="1">
      <alignment vertical="top" wrapText="1"/>
    </xf>
    <xf numFmtId="0" fontId="15" fillId="0" borderId="9" xfId="0" applyFont="1" applyBorder="1" applyAlignment="1">
      <alignment vertical="center"/>
    </xf>
    <xf numFmtId="0" fontId="12" fillId="0" borderId="9" xfId="0" applyFont="1" applyBorder="1" applyAlignment="1">
      <alignment horizontal="left" vertical="top"/>
      <extLst>
        <ext xmlns:xfpb="http://schemas.microsoft.com/office/spreadsheetml/2022/featurepropertybag" uri="{C7286773-470A-42A8-94C5-96B5CB345126}">
          <xfpb:xfComplement i="0"/>
        </ext>
      </extLst>
    </xf>
    <xf numFmtId="0" fontId="12" fillId="0" borderId="10" xfId="0" applyFont="1" applyBorder="1" applyAlignment="1">
      <alignment vertical="top" wrapText="1"/>
    </xf>
    <xf numFmtId="0" fontId="15" fillId="0" borderId="10" xfId="0" applyFont="1" applyBorder="1" applyAlignment="1">
      <alignment vertical="center"/>
    </xf>
    <xf numFmtId="0" fontId="12" fillId="0" borderId="10" xfId="0" applyFont="1" applyBorder="1" applyAlignment="1">
      <alignment horizontal="left" vertical="top"/>
      <extLst>
        <ext xmlns:xfpb="http://schemas.microsoft.com/office/spreadsheetml/2022/featurepropertybag" uri="{C7286773-470A-42A8-94C5-96B5CB345126}">
          <xfpb:xfComplement i="0"/>
        </ext>
      </extLst>
    </xf>
    <xf numFmtId="0" fontId="29" fillId="0" borderId="7" xfId="0" applyFont="1" applyBorder="1" applyAlignment="1">
      <alignment horizontal="left" vertical="top"/>
    </xf>
    <xf numFmtId="0" fontId="25" fillId="0" borderId="7" xfId="0" applyFont="1" applyBorder="1" applyAlignment="1">
      <alignment horizontal="left" vertical="top" wrapText="1"/>
    </xf>
    <xf numFmtId="0" fontId="27" fillId="0" borderId="7" xfId="0" applyFont="1" applyBorder="1" applyAlignment="1">
      <alignment horizontal="left" vertical="top" wrapText="1"/>
    </xf>
    <xf numFmtId="0" fontId="12" fillId="3" borderId="7" xfId="0" applyFont="1" applyFill="1" applyBorder="1" applyAlignment="1">
      <alignment horizontal="left" vertical="top"/>
    </xf>
    <xf numFmtId="0" fontId="12" fillId="3" borderId="7" xfId="0" applyFont="1" applyFill="1" applyBorder="1" applyAlignment="1">
      <alignment horizontal="left" vertical="top" wrapText="1"/>
    </xf>
    <xf numFmtId="0" fontId="12" fillId="3" borderId="7" xfId="0" applyFont="1" applyFill="1" applyBorder="1" applyAlignment="1">
      <alignment vertical="top" wrapText="1"/>
    </xf>
    <xf numFmtId="0" fontId="18" fillId="0" borderId="7" xfId="0" applyFont="1" applyBorder="1" applyAlignment="1">
      <alignment horizontal="center"/>
    </xf>
    <xf numFmtId="0" fontId="18" fillId="0" borderId="7" xfId="0" applyFont="1" applyBorder="1" applyAlignment="1">
      <alignment horizontal="center" wrapText="1"/>
    </xf>
    <xf numFmtId="0" fontId="18" fillId="0" borderId="7" xfId="0" applyFont="1" applyBorder="1" applyAlignment="1">
      <alignment horizontal="left" vertical="center" wrapText="1"/>
    </xf>
    <xf numFmtId="164" fontId="19" fillId="3" borderId="7" xfId="0" applyNumberFormat="1" applyFont="1" applyFill="1" applyBorder="1" applyAlignment="1">
      <alignment horizontal="left" vertical="center"/>
    </xf>
    <xf numFmtId="0" fontId="16" fillId="4" borderId="7" xfId="0" applyFont="1" applyFill="1" applyBorder="1" applyAlignment="1">
      <alignment vertical="top"/>
    </xf>
    <xf numFmtId="0" fontId="32" fillId="0" borderId="0" xfId="0" applyFont="1" applyAlignment="1">
      <alignment vertical="top"/>
    </xf>
    <xf numFmtId="9" fontId="16" fillId="4" borderId="7" xfId="0" applyNumberFormat="1" applyFont="1" applyFill="1" applyBorder="1" applyAlignment="1">
      <alignment horizontal="left" vertical="top"/>
    </xf>
    <xf numFmtId="1" fontId="16" fillId="4" borderId="7" xfId="0" applyNumberFormat="1" applyFont="1" applyFill="1" applyBorder="1" applyAlignment="1">
      <alignment horizontal="left" vertical="top"/>
    </xf>
    <xf numFmtId="164" fontId="16" fillId="4" borderId="7" xfId="0" applyNumberFormat="1" applyFont="1" applyFill="1" applyBorder="1" applyAlignment="1">
      <alignment horizontal="left" vertical="top"/>
    </xf>
    <xf numFmtId="0" fontId="18" fillId="0" borderId="7" xfId="0" applyFont="1" applyBorder="1" applyAlignment="1">
      <alignment horizontal="left" vertical="top" wrapText="1"/>
    </xf>
    <xf numFmtId="0" fontId="33" fillId="0" borderId="0" xfId="0" applyFont="1" applyAlignment="1">
      <alignment horizontal="right" vertical="top" wrapText="1"/>
    </xf>
    <xf numFmtId="0" fontId="18" fillId="3" borderId="7" xfId="0" applyFont="1" applyFill="1" applyBorder="1" applyAlignment="1">
      <alignment horizontal="center" vertical="center"/>
    </xf>
    <xf numFmtId="0" fontId="22" fillId="3" borderId="0" xfId="0" applyFont="1" applyFill="1" applyAlignment="1">
      <alignment horizontal="center" vertical="center"/>
    </xf>
    <xf numFmtId="0" fontId="18" fillId="4" borderId="7" xfId="0" applyFont="1" applyFill="1" applyBorder="1" applyAlignment="1">
      <alignment horizontal="center" vertical="center"/>
    </xf>
    <xf numFmtId="0" fontId="21" fillId="0" borderId="0" xfId="0" applyFont="1"/>
    <xf numFmtId="0" fontId="23" fillId="0" borderId="0" xfId="0" applyFont="1" applyAlignment="1">
      <alignment wrapText="1"/>
    </xf>
    <xf numFmtId="0" fontId="18" fillId="0" borderId="0" xfId="0" applyFont="1" applyAlignment="1">
      <alignment horizontal="center"/>
    </xf>
    <xf numFmtId="0" fontId="18" fillId="8" borderId="0" xfId="0" applyFont="1" applyFill="1" applyAlignment="1">
      <alignment horizontal="center"/>
    </xf>
    <xf numFmtId="0" fontId="18" fillId="4" borderId="7" xfId="0" applyFont="1" applyFill="1" applyBorder="1" applyAlignment="1">
      <alignment horizontal="center"/>
    </xf>
    <xf numFmtId="0" fontId="29" fillId="0" borderId="0" xfId="0" applyFont="1" applyAlignment="1">
      <alignment horizontal="left"/>
    </xf>
    <xf numFmtId="0" fontId="24" fillId="9" borderId="7" xfId="0" applyFont="1" applyFill="1" applyBorder="1" applyAlignment="1">
      <alignment horizontal="center" vertical="center"/>
    </xf>
    <xf numFmtId="0" fontId="18" fillId="0" borderId="0" xfId="0" applyFont="1" applyAlignment="1">
      <alignment vertical="center"/>
    </xf>
    <xf numFmtId="0" fontId="36" fillId="10" borderId="7" xfId="0" applyFont="1" applyFill="1" applyBorder="1" applyAlignment="1">
      <alignment horizontal="center" vertical="center" wrapText="1"/>
    </xf>
    <xf numFmtId="0" fontId="39" fillId="7" borderId="4" xfId="1" applyFont="1" applyFill="1" applyBorder="1" applyAlignment="1">
      <alignment horizontal="left" vertical="top" wrapText="1"/>
    </xf>
    <xf numFmtId="0" fontId="5" fillId="0" borderId="6" xfId="1" applyFont="1" applyBorder="1" applyAlignment="1">
      <alignment horizontal="left" vertical="top" wrapText="1"/>
    </xf>
    <xf numFmtId="0" fontId="39" fillId="7" borderId="6" xfId="1" applyFont="1" applyFill="1" applyBorder="1" applyAlignment="1">
      <alignment horizontal="left" vertical="top" wrapText="1"/>
    </xf>
    <xf numFmtId="0" fontId="4" fillId="0" borderId="0" xfId="1" applyFont="1" applyAlignment="1">
      <alignment horizontal="left" vertical="center" wrapText="1"/>
    </xf>
    <xf numFmtId="0" fontId="7" fillId="5" borderId="0" xfId="1" applyFont="1" applyFill="1" applyAlignment="1">
      <alignment vertical="top" wrapText="1"/>
    </xf>
    <xf numFmtId="0" fontId="6" fillId="5" borderId="0" xfId="1" applyFont="1" applyFill="1" applyAlignment="1">
      <alignment vertical="top" wrapText="1"/>
    </xf>
    <xf numFmtId="0" fontId="7" fillId="5" borderId="0" xfId="1" applyFont="1" applyFill="1" applyAlignment="1">
      <alignment horizontal="left" vertical="center" wrapText="1"/>
    </xf>
    <xf numFmtId="0" fontId="6" fillId="5" borderId="0" xfId="1" applyFont="1" applyFill="1" applyAlignment="1">
      <alignment horizontal="left" vertical="center" wrapText="1"/>
    </xf>
    <xf numFmtId="0" fontId="41" fillId="0" borderId="7" xfId="0" applyFont="1" applyBorder="1" applyAlignment="1">
      <alignment horizontal="left" vertical="top" wrapText="1"/>
    </xf>
    <xf numFmtId="0" fontId="18" fillId="4" borderId="7" xfId="0" quotePrefix="1" applyFont="1" applyFill="1" applyBorder="1" applyAlignment="1">
      <alignment horizontal="center" vertical="center"/>
    </xf>
    <xf numFmtId="0" fontId="18" fillId="3" borderId="7" xfId="0" quotePrefix="1" applyFont="1" applyFill="1" applyBorder="1" applyAlignment="1">
      <alignment horizontal="center" vertical="center"/>
    </xf>
    <xf numFmtId="0" fontId="17" fillId="0" borderId="8" xfId="0" applyFont="1" applyBorder="1" applyAlignment="1">
      <alignment vertical="top" wrapText="1"/>
    </xf>
    <xf numFmtId="0" fontId="43" fillId="4" borderId="7" xfId="0" applyFont="1" applyFill="1" applyBorder="1" applyAlignment="1">
      <alignment horizontal="left" vertical="top"/>
    </xf>
    <xf numFmtId="0" fontId="45" fillId="12" borderId="0" xfId="0" applyFont="1" applyFill="1" applyAlignment="1">
      <alignment vertical="center"/>
    </xf>
    <xf numFmtId="0" fontId="46" fillId="12" borderId="0" xfId="0" applyFont="1" applyFill="1" applyAlignment="1">
      <alignment vertical="top"/>
    </xf>
    <xf numFmtId="0" fontId="45" fillId="12" borderId="0" xfId="0" applyFont="1" applyFill="1" applyAlignment="1">
      <alignment vertical="center" wrapText="1"/>
    </xf>
    <xf numFmtId="0" fontId="47" fillId="12" borderId="0" xfId="0" applyFont="1" applyFill="1" applyAlignment="1">
      <alignment vertical="center"/>
    </xf>
    <xf numFmtId="0" fontId="48" fillId="12" borderId="0" xfId="0" applyFont="1" applyFill="1" applyAlignment="1">
      <alignment vertical="top"/>
    </xf>
    <xf numFmtId="0" fontId="47" fillId="12" borderId="0" xfId="0" applyFont="1" applyFill="1" applyAlignment="1">
      <alignment vertical="center" wrapText="1"/>
    </xf>
    <xf numFmtId="0" fontId="47" fillId="12" borderId="0" xfId="0" applyFont="1" applyFill="1" applyAlignment="1">
      <alignment horizontal="left" vertical="center"/>
    </xf>
    <xf numFmtId="0" fontId="4" fillId="5" borderId="0" xfId="0" applyFont="1" applyFill="1" applyAlignment="1">
      <alignment vertical="top"/>
    </xf>
    <xf numFmtId="0" fontId="46" fillId="12" borderId="0" xfId="0" applyFont="1" applyFill="1" applyAlignment="1">
      <alignment vertical="top" wrapText="1"/>
    </xf>
    <xf numFmtId="0" fontId="36" fillId="12" borderId="0" xfId="0" applyFont="1" applyFill="1" applyAlignment="1">
      <alignment vertical="center"/>
    </xf>
    <xf numFmtId="0" fontId="22" fillId="3" borderId="7" xfId="0" applyFont="1" applyFill="1" applyBorder="1" applyAlignment="1">
      <alignment horizontal="center" vertical="top"/>
    </xf>
    <xf numFmtId="0" fontId="33" fillId="4" borderId="7" xfId="0" applyFont="1" applyFill="1" applyBorder="1" applyAlignment="1">
      <alignment horizontal="center" vertical="center"/>
    </xf>
    <xf numFmtId="0" fontId="18" fillId="8" borderId="0" xfId="0" applyFont="1" applyFill="1" applyAlignment="1">
      <alignment horizontal="center" vertical="center"/>
    </xf>
    <xf numFmtId="0" fontId="12" fillId="2" borderId="0" xfId="0" applyFont="1" applyFill="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8" fillId="0" borderId="0" xfId="0" applyFont="1" applyAlignment="1">
      <alignment horizontal="center" vertical="center" wrapText="1"/>
    </xf>
    <xf numFmtId="0" fontId="18" fillId="2" borderId="0" xfId="0" applyFont="1" applyFill="1" applyAlignment="1">
      <alignment horizontal="center" vertical="center"/>
    </xf>
    <xf numFmtId="0" fontId="18" fillId="0" borderId="0" xfId="0" applyFont="1" applyAlignment="1">
      <alignment horizontal="center" vertical="center"/>
    </xf>
    <xf numFmtId="9" fontId="16" fillId="4" borderId="7" xfId="3" applyFont="1" applyFill="1" applyBorder="1" applyAlignment="1">
      <alignment horizontal="left" vertical="top"/>
    </xf>
    <xf numFmtId="0" fontId="16" fillId="4" borderId="7" xfId="0" applyFont="1" applyFill="1" applyBorder="1" applyAlignment="1">
      <alignment horizontal="left" vertical="top" wrapText="1"/>
    </xf>
    <xf numFmtId="0" fontId="31" fillId="5" borderId="0" xfId="0" applyFont="1" applyFill="1" applyAlignment="1">
      <alignment horizontal="left" vertical="top" wrapText="1"/>
    </xf>
    <xf numFmtId="0" fontId="37" fillId="0" borderId="0" xfId="1" applyFont="1" applyAlignment="1">
      <alignment vertical="top" wrapText="1"/>
    </xf>
    <xf numFmtId="0" fontId="37" fillId="0" borderId="0" xfId="1" quotePrefix="1" applyFont="1" applyAlignment="1">
      <alignment vertical="top" wrapText="1"/>
    </xf>
    <xf numFmtId="0" fontId="4" fillId="0" borderId="0" xfId="1" applyFont="1" applyAlignment="1">
      <alignment horizontal="left" vertical="top" wrapText="1"/>
    </xf>
    <xf numFmtId="0" fontId="6" fillId="0" borderId="0" xfId="1" applyFont="1" applyAlignment="1">
      <alignment horizontal="center" vertical="top" wrapText="1"/>
    </xf>
    <xf numFmtId="0" fontId="5" fillId="0" borderId="0" xfId="1" applyFont="1" applyAlignment="1">
      <alignment vertical="top" wrapText="1"/>
    </xf>
    <xf numFmtId="0" fontId="37" fillId="0" borderId="0" xfId="1" applyFont="1" applyAlignment="1">
      <alignment horizontal="left" vertical="center" wrapText="1"/>
    </xf>
    <xf numFmtId="0" fontId="12" fillId="0" borderId="0" xfId="0" applyFont="1" applyAlignment="1">
      <alignment horizontal="left" vertical="top" wrapText="1"/>
    </xf>
    <xf numFmtId="0" fontId="47" fillId="12" borderId="0" xfId="0" applyFont="1" applyFill="1" applyAlignment="1">
      <alignment horizontal="left" vertical="center" wrapText="1"/>
    </xf>
    <xf numFmtId="0" fontId="13" fillId="2" borderId="0" xfId="0" applyFont="1" applyFill="1" applyAlignment="1">
      <alignment horizontal="left" vertical="top" wrapText="1"/>
    </xf>
    <xf numFmtId="0" fontId="16" fillId="2" borderId="0" xfId="0" applyFont="1" applyFill="1" applyAlignment="1">
      <alignment horizontal="left" vertical="top" wrapText="1"/>
    </xf>
    <xf numFmtId="0" fontId="12" fillId="2" borderId="0" xfId="0" applyFont="1" applyFill="1" applyAlignment="1">
      <alignment horizontal="left" vertical="top" wrapText="1"/>
    </xf>
    <xf numFmtId="0" fontId="19" fillId="0" borderId="0" xfId="0" applyFont="1" applyAlignment="1">
      <alignment horizontal="left" vertical="center" wrapText="1"/>
    </xf>
    <xf numFmtId="0" fontId="20" fillId="0" borderId="0" xfId="0" applyFont="1" applyAlignment="1">
      <alignment horizontal="left" vertical="center" wrapText="1"/>
    </xf>
    <xf numFmtId="0" fontId="30" fillId="0" borderId="0" xfId="0" applyFont="1" applyAlignment="1">
      <alignment horizontal="left" vertical="top" wrapText="1"/>
    </xf>
    <xf numFmtId="0" fontId="49" fillId="11" borderId="0" xfId="0" applyFont="1" applyFill="1" applyAlignment="1">
      <alignment horizontal="center" vertical="center"/>
    </xf>
    <xf numFmtId="0" fontId="44" fillId="0" borderId="11" xfId="0" applyFont="1" applyBorder="1" applyAlignment="1">
      <alignment horizontal="left" wrapText="1"/>
    </xf>
    <xf numFmtId="0" fontId="44" fillId="0" borderId="0" xfId="0" applyFont="1" applyAlignment="1">
      <alignment horizontal="left" wrapText="1"/>
    </xf>
    <xf numFmtId="0" fontId="29" fillId="0" borderId="0" xfId="0" applyFont="1" applyAlignment="1">
      <alignment horizontal="center" vertical="center" wrapText="1"/>
    </xf>
    <xf numFmtId="0" fontId="18" fillId="0" borderId="0" xfId="0" applyFont="1" applyAlignment="1">
      <alignment horizontal="left" vertical="top" wrapText="1"/>
    </xf>
  </cellXfs>
  <cellStyles count="4">
    <cellStyle name="Normal" xfId="0" builtinId="0"/>
    <cellStyle name="Normal 2" xfId="1" xr:uid="{78F0E4B2-23CF-479F-9D43-B3104B129B5F}"/>
    <cellStyle name="Normal 2 2" xfId="2" xr:uid="{185B7742-2945-4FC6-AB64-1E877BACF673}"/>
    <cellStyle name="Percent" xfId="3" builtinId="5"/>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twoCellAnchor>
    <xdr:from>
      <xdr:col>5</xdr:col>
      <xdr:colOff>107880</xdr:colOff>
      <xdr:row>16</xdr:row>
      <xdr:rowOff>59537</xdr:rowOff>
    </xdr:from>
    <xdr:to>
      <xdr:col>7</xdr:col>
      <xdr:colOff>347386</xdr:colOff>
      <xdr:row>17</xdr:row>
      <xdr:rowOff>11205</xdr:rowOff>
    </xdr:to>
    <xdr:sp macro="" textlink="">
      <xdr:nvSpPr>
        <xdr:cNvPr id="2" name="Arrow: Down 1">
          <a:extLst>
            <a:ext uri="{FF2B5EF4-FFF2-40B4-BE49-F238E27FC236}">
              <a16:creationId xmlns:a16="http://schemas.microsoft.com/office/drawing/2014/main" id="{1A457DB3-AED7-DC9E-8F60-C744763B4248}"/>
            </a:ext>
          </a:extLst>
        </xdr:cNvPr>
        <xdr:cNvSpPr/>
      </xdr:nvSpPr>
      <xdr:spPr>
        <a:xfrm rot="16200000">
          <a:off x="11065476" y="2930000"/>
          <a:ext cx="601609" cy="3758153"/>
        </a:xfrm>
        <a:prstGeom prst="downArrow">
          <a:avLst>
            <a:gd name="adj1" fmla="val 38824"/>
            <a:gd name="adj2" fmla="val 48137"/>
          </a:avLst>
        </a:prstGeom>
        <a:solidFill>
          <a:schemeClr val="bg2">
            <a:lumMod val="90000"/>
          </a:schemeClr>
        </a:solidFill>
        <a:ln>
          <a:no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44824</xdr:colOff>
      <xdr:row>13</xdr:row>
      <xdr:rowOff>100854</xdr:rowOff>
    </xdr:from>
    <xdr:to>
      <xdr:col>2</xdr:col>
      <xdr:colOff>2017058</xdr:colOff>
      <xdr:row>20</xdr:row>
      <xdr:rowOff>33620</xdr:rowOff>
    </xdr:to>
    <xdr:sp macro="" textlink="">
      <xdr:nvSpPr>
        <xdr:cNvPr id="3" name="Arrow: Bent-Up 2">
          <a:extLst>
            <a:ext uri="{FF2B5EF4-FFF2-40B4-BE49-F238E27FC236}">
              <a16:creationId xmlns:a16="http://schemas.microsoft.com/office/drawing/2014/main" id="{9B32D87B-3E57-55FC-DA12-F3047DF04F22}"/>
            </a:ext>
          </a:extLst>
        </xdr:cNvPr>
        <xdr:cNvSpPr/>
      </xdr:nvSpPr>
      <xdr:spPr>
        <a:xfrm rot="5400000">
          <a:off x="1434352" y="3720355"/>
          <a:ext cx="4258237" cy="3608293"/>
        </a:xfrm>
        <a:prstGeom prst="bentUpArrow">
          <a:avLst>
            <a:gd name="adj1" fmla="val 5548"/>
            <a:gd name="adj2" fmla="val 9292"/>
            <a:gd name="adj3" fmla="val 10503"/>
          </a:avLst>
        </a:prstGeom>
        <a:solidFill>
          <a:schemeClr val="bg2">
            <a:lumMod val="9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651830</xdr:colOff>
      <xdr:row>10</xdr:row>
      <xdr:rowOff>107872</xdr:rowOff>
    </xdr:from>
    <xdr:to>
      <xdr:col>0</xdr:col>
      <xdr:colOff>1569903</xdr:colOff>
      <xdr:row>24</xdr:row>
      <xdr:rowOff>96395</xdr:rowOff>
    </xdr:to>
    <xdr:sp macro="" textlink="">
      <xdr:nvSpPr>
        <xdr:cNvPr id="6" name="Arrow: Bent-Up 5">
          <a:extLst>
            <a:ext uri="{FF2B5EF4-FFF2-40B4-BE49-F238E27FC236}">
              <a16:creationId xmlns:a16="http://schemas.microsoft.com/office/drawing/2014/main" id="{820698FA-86BB-4845-8A22-81A2318E8979}"/>
            </a:ext>
          </a:extLst>
        </xdr:cNvPr>
        <xdr:cNvSpPr/>
      </xdr:nvSpPr>
      <xdr:spPr>
        <a:xfrm rot="10800000">
          <a:off x="651830" y="2472313"/>
          <a:ext cx="918073" cy="6006082"/>
        </a:xfrm>
        <a:prstGeom prst="bentUpArrow">
          <a:avLst>
            <a:gd name="adj1" fmla="val 21073"/>
            <a:gd name="adj2" fmla="val 25000"/>
            <a:gd name="adj3" fmla="val 25000"/>
          </a:avLst>
        </a:prstGeom>
        <a:solidFill>
          <a:schemeClr val="bg2">
            <a:lumMod val="9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125810</xdr:colOff>
      <xdr:row>26</xdr:row>
      <xdr:rowOff>111085</xdr:rowOff>
    </xdr:from>
    <xdr:to>
      <xdr:col>7</xdr:col>
      <xdr:colOff>365316</xdr:colOff>
      <xdr:row>26</xdr:row>
      <xdr:rowOff>712694</xdr:rowOff>
    </xdr:to>
    <xdr:sp macro="" textlink="">
      <xdr:nvSpPr>
        <xdr:cNvPr id="5" name="Arrow: Down 4">
          <a:extLst>
            <a:ext uri="{FF2B5EF4-FFF2-40B4-BE49-F238E27FC236}">
              <a16:creationId xmlns:a16="http://schemas.microsoft.com/office/drawing/2014/main" id="{0A56D5D9-84BF-4116-A982-0BDFA35B3846}"/>
            </a:ext>
          </a:extLst>
        </xdr:cNvPr>
        <xdr:cNvSpPr/>
      </xdr:nvSpPr>
      <xdr:spPr>
        <a:xfrm rot="5400000" flipH="1">
          <a:off x="11083406" y="7441489"/>
          <a:ext cx="601609" cy="3758153"/>
        </a:xfrm>
        <a:prstGeom prst="downArrow">
          <a:avLst>
            <a:gd name="adj1" fmla="val 38824"/>
            <a:gd name="adj2" fmla="val 48137"/>
          </a:avLst>
        </a:prstGeom>
        <a:solidFill>
          <a:schemeClr val="bg2">
            <a:lumMod val="90000"/>
          </a:schemeClr>
        </a:solidFill>
        <a:ln>
          <a:no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00B0F0"/>
      </a:accent1>
      <a:accent2>
        <a:srgbClr val="FF9933"/>
      </a:accent2>
      <a:accent3>
        <a:srgbClr val="00AB69"/>
      </a:accent3>
      <a:accent4>
        <a:srgbClr val="FFFF00"/>
      </a:accent4>
      <a:accent5>
        <a:srgbClr val="A02B93"/>
      </a:accent5>
      <a:accent6>
        <a:srgbClr val="FF3399"/>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253E9-096D-46C5-A910-3425F772CA58}">
  <sheetPr>
    <tabColor theme="6"/>
  </sheetPr>
  <dimension ref="A6:K27"/>
  <sheetViews>
    <sheetView showGridLines="0" topLeftCell="A13" zoomScaleNormal="100" workbookViewId="0">
      <selection activeCell="D27" sqref="D27"/>
    </sheetView>
  </sheetViews>
  <sheetFormatPr defaultColWidth="0" defaultRowHeight="0" customHeight="1" zeroHeight="1" x14ac:dyDescent="0.4"/>
  <cols>
    <col min="1" max="1" width="8" style="80" customWidth="1"/>
    <col min="2" max="2" width="25.5" style="1" customWidth="1"/>
    <col min="3" max="3" width="26.5" style="2" customWidth="1"/>
    <col min="4" max="4" width="43.6640625" style="81" customWidth="1"/>
    <col min="5" max="5" width="8.5" style="81" customWidth="1"/>
    <col min="6" max="6" width="8" style="81" customWidth="1"/>
    <col min="7" max="11" width="8" style="80" customWidth="1"/>
    <col min="12" max="16384" width="8" style="80" hidden="1"/>
  </cols>
  <sheetData>
    <row r="6" spans="1:11" ht="20.25" customHeight="1" x14ac:dyDescent="0.4">
      <c r="C6" s="2" t="s">
        <v>0</v>
      </c>
    </row>
    <row r="7" spans="1:11" ht="20.25" customHeight="1" x14ac:dyDescent="0.4">
      <c r="B7" s="96" t="s">
        <v>114</v>
      </c>
    </row>
    <row r="8" spans="1:11" ht="48" customHeight="1" x14ac:dyDescent="0.4">
      <c r="B8" s="110" t="s">
        <v>1</v>
      </c>
      <c r="C8" s="110"/>
      <c r="D8" s="110"/>
      <c r="E8" s="110"/>
    </row>
    <row r="9" spans="1:11" ht="20.25" customHeight="1" x14ac:dyDescent="0.4"/>
    <row r="10" spans="1:11" s="81" customFormat="1" ht="250" customHeight="1" x14ac:dyDescent="0.4">
      <c r="A10" s="80"/>
      <c r="B10" s="3" t="s">
        <v>2</v>
      </c>
      <c r="C10" s="111" t="s">
        <v>121</v>
      </c>
      <c r="D10" s="111"/>
      <c r="E10" s="111"/>
      <c r="G10" s="80"/>
      <c r="H10" s="80"/>
      <c r="I10" s="80"/>
      <c r="J10" s="80"/>
      <c r="K10" s="80"/>
    </row>
    <row r="11" spans="1:11" s="81" customFormat="1" ht="27.5" x14ac:dyDescent="0.4">
      <c r="A11" s="80"/>
      <c r="B11" s="1"/>
      <c r="C11" s="2"/>
      <c r="G11" s="80"/>
      <c r="H11" s="80"/>
      <c r="I11" s="80"/>
      <c r="J11" s="80"/>
      <c r="K11" s="80"/>
    </row>
    <row r="12" spans="1:11" s="81" customFormat="1" ht="33.75" customHeight="1" thickBot="1" x14ac:dyDescent="0.45">
      <c r="A12" s="80"/>
      <c r="B12" s="113" t="s">
        <v>3</v>
      </c>
      <c r="C12" s="111" t="s">
        <v>4</v>
      </c>
      <c r="D12" s="111"/>
      <c r="E12" s="111"/>
      <c r="G12" s="80"/>
      <c r="H12" s="80"/>
      <c r="I12" s="80"/>
      <c r="J12" s="80"/>
      <c r="K12" s="80"/>
    </row>
    <row r="13" spans="1:11" s="81" customFormat="1" ht="20.25" customHeight="1" thickBot="1" x14ac:dyDescent="0.45">
      <c r="A13" s="80"/>
      <c r="B13" s="113"/>
      <c r="C13" s="4" t="s">
        <v>5</v>
      </c>
      <c r="D13" s="5" t="s">
        <v>6</v>
      </c>
      <c r="E13" s="114"/>
      <c r="G13" s="80"/>
      <c r="H13" s="80"/>
      <c r="I13" s="80"/>
      <c r="J13" s="80"/>
      <c r="K13" s="80"/>
    </row>
    <row r="14" spans="1:11" s="81" customFormat="1" ht="26" x14ac:dyDescent="0.4">
      <c r="A14" s="80"/>
      <c r="B14" s="113"/>
      <c r="C14" s="6" t="s">
        <v>7</v>
      </c>
      <c r="D14" s="76" t="s">
        <v>8</v>
      </c>
      <c r="E14" s="114"/>
      <c r="G14" s="80"/>
      <c r="H14" s="80"/>
      <c r="I14" s="80"/>
      <c r="J14" s="80"/>
      <c r="K14" s="80"/>
    </row>
    <row r="15" spans="1:11" ht="26.5" thickBot="1" x14ac:dyDescent="0.45">
      <c r="B15" s="113"/>
      <c r="C15" s="7" t="s">
        <v>9</v>
      </c>
      <c r="D15" s="77" t="s">
        <v>10</v>
      </c>
      <c r="E15" s="114"/>
    </row>
    <row r="16" spans="1:11" ht="26.5" thickBot="1" x14ac:dyDescent="0.45">
      <c r="B16" s="113"/>
      <c r="C16" s="8" t="s">
        <v>11</v>
      </c>
      <c r="D16" s="78" t="s">
        <v>12</v>
      </c>
      <c r="E16" s="114"/>
    </row>
    <row r="17" spans="1:11" ht="20.25" customHeight="1" x14ac:dyDescent="0.4">
      <c r="B17" s="113"/>
      <c r="C17" s="115"/>
      <c r="D17" s="115"/>
      <c r="E17" s="115"/>
    </row>
    <row r="18" spans="1:11" s="81" customFormat="1" ht="20.25" customHeight="1" x14ac:dyDescent="0.4">
      <c r="A18" s="80"/>
      <c r="B18" s="1"/>
      <c r="C18" s="2"/>
      <c r="G18" s="80"/>
      <c r="H18" s="80"/>
    </row>
    <row r="19" spans="1:11" s="81" customFormat="1" ht="54.75" customHeight="1" x14ac:dyDescent="0.4">
      <c r="A19" s="80"/>
      <c r="B19" s="3" t="s">
        <v>13</v>
      </c>
      <c r="C19" s="112" t="s">
        <v>14</v>
      </c>
      <c r="D19" s="111"/>
      <c r="E19" s="111"/>
      <c r="G19" s="80"/>
      <c r="H19" s="80"/>
      <c r="I19" s="80"/>
      <c r="J19" s="80"/>
      <c r="K19" s="80"/>
    </row>
    <row r="20" spans="1:11" s="81" customFormat="1" ht="20.25" customHeight="1" x14ac:dyDescent="0.4">
      <c r="A20" s="80"/>
      <c r="B20" s="1"/>
      <c r="C20" s="2"/>
      <c r="G20" s="80"/>
      <c r="H20" s="80"/>
    </row>
    <row r="21" spans="1:11" s="81" customFormat="1" ht="51" customHeight="1" x14ac:dyDescent="0.4">
      <c r="A21" s="80"/>
      <c r="B21" s="3" t="s">
        <v>15</v>
      </c>
      <c r="C21" s="111" t="s">
        <v>16</v>
      </c>
      <c r="D21" s="111"/>
      <c r="E21" s="111"/>
      <c r="G21" s="80"/>
      <c r="H21" s="80"/>
      <c r="I21" s="80"/>
      <c r="J21" s="80"/>
      <c r="K21" s="80"/>
    </row>
    <row r="22" spans="1:11" s="83" customFormat="1" ht="140.25" customHeight="1" x14ac:dyDescent="0.4">
      <c r="A22" s="82"/>
      <c r="B22" s="79"/>
      <c r="C22" s="116" t="s">
        <v>117</v>
      </c>
      <c r="D22" s="116"/>
      <c r="E22" s="116"/>
      <c r="G22" s="82"/>
      <c r="H22" s="82"/>
      <c r="I22" s="82"/>
      <c r="J22" s="82"/>
      <c r="K22" s="82"/>
    </row>
    <row r="23" spans="1:11" s="83" customFormat="1" ht="107.25" customHeight="1" x14ac:dyDescent="0.4">
      <c r="A23" s="82"/>
      <c r="B23" s="79"/>
      <c r="C23" s="116" t="s">
        <v>17</v>
      </c>
      <c r="D23" s="116"/>
      <c r="E23" s="116"/>
      <c r="G23" s="82"/>
      <c r="H23" s="82"/>
      <c r="I23" s="82"/>
      <c r="J23" s="82"/>
      <c r="K23" s="82"/>
    </row>
    <row r="24" spans="1:11" s="83" customFormat="1" ht="221.25" customHeight="1" x14ac:dyDescent="0.4">
      <c r="A24" s="82"/>
      <c r="B24" s="79"/>
      <c r="C24" s="116" t="s">
        <v>116</v>
      </c>
      <c r="D24" s="116"/>
      <c r="E24" s="116"/>
      <c r="G24" s="82"/>
      <c r="H24" s="82"/>
      <c r="I24" s="82"/>
      <c r="J24" s="82"/>
      <c r="K24" s="82"/>
    </row>
    <row r="25" spans="1:11" s="81" customFormat="1" ht="27.5" x14ac:dyDescent="0.4">
      <c r="A25" s="80"/>
      <c r="B25" s="1"/>
      <c r="C25" s="2"/>
      <c r="G25" s="80"/>
      <c r="H25" s="80"/>
      <c r="I25" s="80"/>
      <c r="J25" s="80"/>
      <c r="K25" s="80"/>
    </row>
    <row r="26" spans="1:11" s="81" customFormat="1" ht="196.5" customHeight="1" x14ac:dyDescent="0.4">
      <c r="A26" s="80"/>
      <c r="B26" s="3" t="s">
        <v>18</v>
      </c>
      <c r="C26" s="112" t="s">
        <v>122</v>
      </c>
      <c r="D26" s="111"/>
      <c r="E26" s="111"/>
      <c r="G26" s="80"/>
      <c r="H26" s="80"/>
      <c r="I26" s="80"/>
      <c r="J26" s="80"/>
      <c r="K26" s="80"/>
    </row>
    <row r="27" spans="1:11" s="81" customFormat="1" ht="20.25" customHeight="1" x14ac:dyDescent="0.4">
      <c r="A27" s="80"/>
      <c r="B27" s="1"/>
      <c r="C27" s="2"/>
      <c r="G27" s="80"/>
      <c r="H27" s="80"/>
    </row>
  </sheetData>
  <mergeCells count="12">
    <mergeCell ref="B8:E8"/>
    <mergeCell ref="C10:E10"/>
    <mergeCell ref="C26:E26"/>
    <mergeCell ref="B12:B17"/>
    <mergeCell ref="C12:E12"/>
    <mergeCell ref="E13:E16"/>
    <mergeCell ref="C19:E19"/>
    <mergeCell ref="C17:E17"/>
    <mergeCell ref="C21:E21"/>
    <mergeCell ref="C22:E22"/>
    <mergeCell ref="C23:E23"/>
    <mergeCell ref="C24:E2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02D8B-AC7B-4AFA-B15B-F135BB921243}">
  <dimension ref="A1:N65"/>
  <sheetViews>
    <sheetView showGridLines="0" topLeftCell="A46" zoomScale="99" zoomScaleNormal="85" workbookViewId="0">
      <selection activeCell="F37" sqref="F37"/>
    </sheetView>
  </sheetViews>
  <sheetFormatPr defaultColWidth="10.83203125" defaultRowHeight="15.5" x14ac:dyDescent="0.4"/>
  <cols>
    <col min="1" max="1" width="4.83203125" style="10" customWidth="1"/>
    <col min="2" max="2" width="10.83203125" style="10"/>
    <col min="3" max="3" width="69.83203125" style="12" customWidth="1"/>
    <col min="4" max="4" width="5" style="10" customWidth="1"/>
    <col min="5" max="5" width="29.83203125" style="20" customWidth="1"/>
    <col min="6" max="8" width="10.83203125" style="10"/>
    <col min="9" max="9" width="14" style="10" customWidth="1"/>
    <col min="10" max="16384" width="10.83203125" style="10"/>
  </cols>
  <sheetData>
    <row r="1" spans="1:14" x14ac:dyDescent="0.4">
      <c r="A1" s="9"/>
      <c r="B1" s="119" t="s">
        <v>19</v>
      </c>
      <c r="C1" s="119"/>
      <c r="D1" s="119"/>
      <c r="E1" s="119"/>
      <c r="F1" s="9"/>
      <c r="G1" s="9"/>
      <c r="H1" s="9"/>
      <c r="I1" s="9"/>
      <c r="J1" s="9"/>
      <c r="K1" s="9"/>
      <c r="L1" s="9"/>
      <c r="M1" s="9"/>
      <c r="N1" s="9"/>
    </row>
    <row r="2" spans="1:14" x14ac:dyDescent="0.4">
      <c r="A2" s="9"/>
      <c r="B2" s="119" t="s">
        <v>20</v>
      </c>
      <c r="C2" s="119"/>
      <c r="D2" s="119"/>
      <c r="E2" s="119"/>
      <c r="F2" s="9"/>
      <c r="G2" s="9"/>
      <c r="H2" s="9"/>
      <c r="I2" s="9"/>
      <c r="J2" s="9"/>
      <c r="K2" s="9"/>
      <c r="L2" s="9"/>
      <c r="M2" s="9"/>
      <c r="N2" s="9"/>
    </row>
    <row r="3" spans="1:14" x14ac:dyDescent="0.4">
      <c r="A3" s="9"/>
      <c r="B3" s="120" t="s">
        <v>21</v>
      </c>
      <c r="C3" s="121"/>
      <c r="D3" s="121"/>
      <c r="E3" s="121"/>
      <c r="F3" s="9"/>
      <c r="G3" s="9"/>
      <c r="H3" s="9"/>
      <c r="I3" s="9"/>
      <c r="J3" s="9"/>
      <c r="K3" s="9"/>
      <c r="L3" s="9"/>
      <c r="M3" s="9"/>
      <c r="N3" s="9"/>
    </row>
    <row r="4" spans="1:14" x14ac:dyDescent="0.4">
      <c r="A4" s="13"/>
      <c r="B4" s="13"/>
      <c r="C4" s="14"/>
      <c r="D4" s="13"/>
      <c r="E4" s="17"/>
      <c r="F4" s="13"/>
      <c r="G4" s="13"/>
      <c r="H4" s="13"/>
      <c r="I4" s="13"/>
      <c r="J4" s="13"/>
      <c r="K4" s="13"/>
      <c r="L4" s="13"/>
      <c r="M4" s="13"/>
      <c r="N4" s="13"/>
    </row>
    <row r="5" spans="1:14" s="11" customFormat="1" ht="29.25" customHeight="1" x14ac:dyDescent="0.4">
      <c r="A5" s="33"/>
      <c r="B5" s="92" t="s">
        <v>22</v>
      </c>
      <c r="C5" s="118" t="s">
        <v>23</v>
      </c>
      <c r="D5" s="118"/>
      <c r="E5" s="118"/>
      <c r="F5" s="93"/>
      <c r="G5" s="93"/>
      <c r="H5" s="93"/>
      <c r="I5" s="93"/>
      <c r="J5" s="93"/>
      <c r="K5" s="93"/>
      <c r="L5" s="93"/>
      <c r="M5" s="9"/>
      <c r="N5" s="33"/>
    </row>
    <row r="6" spans="1:14" s="11" customFormat="1" x14ac:dyDescent="0.4">
      <c r="A6" s="33"/>
      <c r="B6" s="34"/>
      <c r="C6" s="35"/>
      <c r="D6" s="34"/>
      <c r="E6" s="29"/>
      <c r="F6" s="13"/>
      <c r="G6" s="13"/>
      <c r="H6" s="13"/>
      <c r="I6" s="13"/>
      <c r="J6" s="13"/>
      <c r="K6" s="13"/>
      <c r="L6" s="13"/>
      <c r="M6" s="13"/>
      <c r="N6" s="33"/>
    </row>
    <row r="7" spans="1:14" s="11" customFormat="1" x14ac:dyDescent="0.4">
      <c r="A7" s="33"/>
      <c r="B7" s="33"/>
      <c r="C7" s="36"/>
      <c r="D7" s="34"/>
      <c r="E7" s="29" t="s">
        <v>24</v>
      </c>
      <c r="F7" s="9"/>
      <c r="G7" s="9"/>
      <c r="H7" s="9"/>
      <c r="I7" s="9"/>
      <c r="J7" s="9"/>
      <c r="K7" s="9"/>
      <c r="L7" s="9"/>
      <c r="M7" s="9"/>
      <c r="N7" s="33"/>
    </row>
    <row r="8" spans="1:14" s="11" customFormat="1" ht="18" customHeight="1" x14ac:dyDescent="0.4">
      <c r="A8" s="33"/>
      <c r="B8" s="33"/>
      <c r="C8" s="14" t="s">
        <v>25</v>
      </c>
      <c r="D8" s="34"/>
      <c r="E8" s="37" t="b">
        <v>0</v>
      </c>
      <c r="F8" s="13"/>
      <c r="G8" s="13"/>
      <c r="H8" s="13"/>
      <c r="I8" s="13"/>
      <c r="J8" s="13"/>
      <c r="K8" s="13"/>
      <c r="L8" s="13"/>
      <c r="M8" s="13"/>
      <c r="N8" s="33"/>
    </row>
    <row r="9" spans="1:14" ht="41.5" x14ac:dyDescent="0.4">
      <c r="A9" s="13"/>
      <c r="B9" s="13"/>
      <c r="C9" s="38" t="s">
        <v>26</v>
      </c>
      <c r="D9" s="39"/>
      <c r="E9" s="40"/>
      <c r="F9" s="9"/>
      <c r="G9" s="9"/>
      <c r="H9" s="9"/>
      <c r="I9" s="9"/>
      <c r="J9" s="9"/>
      <c r="K9" s="9"/>
      <c r="L9" s="9"/>
      <c r="M9" s="9"/>
      <c r="N9" s="13"/>
    </row>
    <row r="10" spans="1:14" s="11" customFormat="1" ht="56.25" customHeight="1" x14ac:dyDescent="0.4">
      <c r="A10" s="33"/>
      <c r="B10" s="33"/>
      <c r="C10" s="14" t="s">
        <v>118</v>
      </c>
      <c r="D10" s="34"/>
      <c r="E10" s="37" t="b">
        <v>0</v>
      </c>
      <c r="F10" s="13"/>
      <c r="G10" s="13"/>
      <c r="H10" s="13"/>
      <c r="I10" s="13"/>
      <c r="J10" s="13"/>
      <c r="K10" s="13"/>
      <c r="L10" s="13"/>
      <c r="M10" s="13"/>
      <c r="N10" s="33"/>
    </row>
    <row r="11" spans="1:14" ht="44.25" customHeight="1" x14ac:dyDescent="0.4">
      <c r="A11" s="13"/>
      <c r="B11" s="13"/>
      <c r="C11" s="87" t="s">
        <v>27</v>
      </c>
      <c r="D11" s="39"/>
      <c r="E11" s="40"/>
      <c r="F11" s="9"/>
      <c r="G11" s="9"/>
      <c r="H11" s="9"/>
      <c r="I11" s="9"/>
      <c r="J11" s="9"/>
      <c r="K11" s="9"/>
      <c r="L11" s="9"/>
      <c r="M11" s="9"/>
      <c r="N11" s="13"/>
    </row>
    <row r="12" spans="1:14" ht="46.5" x14ac:dyDescent="0.4">
      <c r="A12" s="13"/>
      <c r="B12" s="13"/>
      <c r="C12" s="41" t="s">
        <v>28</v>
      </c>
      <c r="D12" s="42"/>
      <c r="E12" s="43" t="b">
        <v>0</v>
      </c>
      <c r="F12" s="13"/>
      <c r="G12" s="13"/>
      <c r="H12" s="13"/>
      <c r="I12" s="13"/>
      <c r="J12" s="13"/>
      <c r="K12" s="13"/>
      <c r="L12" s="13"/>
      <c r="M12" s="13"/>
      <c r="N12" s="13"/>
    </row>
    <row r="13" spans="1:14" ht="31" x14ac:dyDescent="0.4">
      <c r="A13" s="13"/>
      <c r="B13" s="13"/>
      <c r="C13" s="44" t="s">
        <v>119</v>
      </c>
      <c r="D13" s="45"/>
      <c r="E13" s="46" t="b">
        <v>0</v>
      </c>
      <c r="F13" s="13"/>
      <c r="G13" s="13"/>
      <c r="H13" s="13"/>
      <c r="I13" s="13"/>
      <c r="J13" s="13"/>
      <c r="K13" s="13"/>
      <c r="L13" s="13"/>
      <c r="M13" s="13"/>
      <c r="N13" s="13"/>
    </row>
    <row r="14" spans="1:14" ht="55.5" customHeight="1" x14ac:dyDescent="0.4">
      <c r="A14" s="13"/>
      <c r="B14" s="13"/>
      <c r="C14" s="14"/>
      <c r="D14" s="13"/>
      <c r="E14" s="17"/>
      <c r="F14" s="13"/>
      <c r="G14" s="13"/>
      <c r="H14" s="13"/>
      <c r="I14" s="13"/>
      <c r="J14" s="13"/>
      <c r="K14" s="13"/>
      <c r="L14" s="13"/>
      <c r="M14" s="13"/>
      <c r="N14" s="13"/>
    </row>
    <row r="15" spans="1:14" s="11" customFormat="1" ht="21.75" customHeight="1" x14ac:dyDescent="0.4">
      <c r="A15" s="33"/>
      <c r="B15" s="92" t="s">
        <v>29</v>
      </c>
      <c r="C15" s="118" t="s">
        <v>30</v>
      </c>
      <c r="D15" s="118"/>
      <c r="E15" s="118"/>
      <c r="F15" s="118"/>
      <c r="G15" s="118"/>
      <c r="H15" s="118"/>
      <c r="I15" s="118"/>
      <c r="J15" s="118"/>
      <c r="K15" s="118"/>
      <c r="L15" s="118"/>
      <c r="M15" s="13"/>
      <c r="N15" s="33"/>
    </row>
    <row r="16" spans="1:14" x14ac:dyDescent="0.4">
      <c r="A16" s="13"/>
      <c r="B16" s="13"/>
      <c r="C16" s="14"/>
      <c r="D16" s="13"/>
      <c r="E16" s="17" t="s">
        <v>31</v>
      </c>
      <c r="F16" s="13"/>
      <c r="G16" s="13"/>
      <c r="H16" s="13"/>
      <c r="I16" s="13"/>
      <c r="J16" s="13"/>
      <c r="K16" s="13"/>
      <c r="L16" s="13"/>
      <c r="M16" s="13"/>
      <c r="N16" s="13"/>
    </row>
    <row r="17" spans="1:14" ht="58.5" customHeight="1" x14ac:dyDescent="0.4">
      <c r="A17" s="13"/>
      <c r="B17" s="13"/>
      <c r="C17" s="14" t="s">
        <v>32</v>
      </c>
      <c r="D17" s="13"/>
      <c r="E17" s="109" t="s">
        <v>120</v>
      </c>
      <c r="F17" s="13"/>
      <c r="G17" s="13"/>
      <c r="H17" s="13"/>
      <c r="I17" s="13"/>
      <c r="J17" s="13"/>
      <c r="K17" s="13"/>
      <c r="L17" s="13"/>
      <c r="M17" s="13"/>
      <c r="N17" s="13"/>
    </row>
    <row r="18" spans="1:14" x14ac:dyDescent="0.4">
      <c r="A18" s="13"/>
      <c r="B18" s="13"/>
      <c r="C18" s="14"/>
      <c r="D18" s="13"/>
      <c r="E18" s="17"/>
      <c r="F18" s="13"/>
      <c r="G18" s="13"/>
      <c r="H18" s="13"/>
      <c r="I18" s="13"/>
      <c r="J18" s="13"/>
      <c r="K18" s="13"/>
      <c r="L18" s="13"/>
      <c r="M18" s="13"/>
      <c r="N18" s="13"/>
    </row>
    <row r="19" spans="1:14" x14ac:dyDescent="0.4">
      <c r="A19" s="13"/>
      <c r="B19" s="13"/>
      <c r="C19" s="117" t="s">
        <v>33</v>
      </c>
      <c r="D19" s="13"/>
      <c r="E19" s="18" t="s">
        <v>34</v>
      </c>
      <c r="F19" s="13"/>
      <c r="G19" s="13"/>
      <c r="H19" s="13"/>
      <c r="I19" s="13"/>
      <c r="J19" s="13"/>
      <c r="K19" s="13"/>
      <c r="L19" s="13"/>
      <c r="M19" s="13"/>
      <c r="N19" s="13"/>
    </row>
    <row r="20" spans="1:14" x14ac:dyDescent="0.4">
      <c r="A20" s="13"/>
      <c r="B20" s="13"/>
      <c r="C20" s="117"/>
      <c r="D20" s="13"/>
      <c r="E20" s="18" t="s">
        <v>35</v>
      </c>
      <c r="F20" s="13"/>
      <c r="G20" s="13"/>
      <c r="H20" s="13"/>
      <c r="I20" s="13"/>
      <c r="J20" s="13"/>
      <c r="K20" s="13"/>
      <c r="L20" s="13"/>
      <c r="M20" s="13"/>
      <c r="N20" s="13"/>
    </row>
    <row r="21" spans="1:14" x14ac:dyDescent="0.4">
      <c r="A21" s="13"/>
      <c r="B21" s="13"/>
      <c r="C21" s="117"/>
      <c r="D21" s="13"/>
      <c r="E21" s="18" t="s">
        <v>36</v>
      </c>
      <c r="F21" s="13"/>
      <c r="G21" s="13"/>
      <c r="H21" s="13"/>
      <c r="I21" s="13"/>
      <c r="J21" s="13"/>
      <c r="K21" s="13"/>
      <c r="L21" s="13"/>
      <c r="M21" s="13"/>
      <c r="N21" s="13"/>
    </row>
    <row r="22" spans="1:14" x14ac:dyDescent="0.4">
      <c r="A22" s="13"/>
      <c r="B22" s="13"/>
      <c r="C22" s="117"/>
      <c r="D22" s="13"/>
      <c r="E22" s="18" t="s">
        <v>37</v>
      </c>
      <c r="F22" s="13"/>
      <c r="G22" s="13"/>
      <c r="H22" s="13"/>
      <c r="I22" s="13"/>
      <c r="J22" s="13"/>
      <c r="K22" s="13"/>
      <c r="L22" s="13"/>
      <c r="M22" s="13"/>
      <c r="N22" s="13"/>
    </row>
    <row r="23" spans="1:14" x14ac:dyDescent="0.4">
      <c r="A23" s="13"/>
      <c r="B23" s="13"/>
      <c r="C23" s="117"/>
      <c r="D23" s="13"/>
      <c r="E23" s="18" t="s">
        <v>38</v>
      </c>
      <c r="F23" s="13"/>
      <c r="G23" s="13"/>
      <c r="H23" s="13"/>
      <c r="I23" s="13"/>
      <c r="J23" s="13"/>
      <c r="K23" s="13"/>
      <c r="L23" s="13"/>
      <c r="M23" s="13"/>
      <c r="N23" s="13"/>
    </row>
    <row r="24" spans="1:14" x14ac:dyDescent="0.4">
      <c r="A24" s="13"/>
      <c r="B24" s="13"/>
      <c r="C24" s="117"/>
      <c r="D24" s="13"/>
      <c r="E24" s="18"/>
      <c r="F24" s="13"/>
      <c r="G24" s="13"/>
      <c r="H24" s="13"/>
      <c r="I24" s="13"/>
      <c r="J24" s="13"/>
      <c r="K24" s="13"/>
      <c r="L24" s="13"/>
      <c r="M24" s="13"/>
      <c r="N24" s="13"/>
    </row>
    <row r="25" spans="1:14" x14ac:dyDescent="0.4">
      <c r="A25" s="13"/>
      <c r="B25" s="13"/>
      <c r="C25" s="117"/>
      <c r="D25" s="13"/>
      <c r="E25" s="19"/>
      <c r="F25" s="13"/>
      <c r="G25" s="13"/>
      <c r="H25" s="13"/>
      <c r="I25" s="13"/>
      <c r="J25" s="13"/>
      <c r="K25" s="13"/>
      <c r="L25" s="13"/>
      <c r="M25" s="13"/>
      <c r="N25" s="13"/>
    </row>
    <row r="26" spans="1:14" x14ac:dyDescent="0.4">
      <c r="A26" s="13"/>
      <c r="B26" s="13"/>
      <c r="C26" s="117"/>
      <c r="D26" s="13"/>
      <c r="E26" s="19"/>
      <c r="F26" s="13"/>
      <c r="G26" s="13"/>
      <c r="H26" s="13"/>
      <c r="I26" s="13"/>
      <c r="J26" s="13"/>
      <c r="K26" s="13"/>
      <c r="L26" s="13"/>
      <c r="M26" s="13"/>
      <c r="N26" s="13"/>
    </row>
    <row r="27" spans="1:14" x14ac:dyDescent="0.4">
      <c r="A27" s="13"/>
      <c r="B27" s="13"/>
      <c r="C27" s="117"/>
      <c r="D27" s="13"/>
      <c r="E27" s="19"/>
      <c r="F27" s="13"/>
      <c r="G27" s="13"/>
      <c r="H27" s="13"/>
      <c r="I27" s="13"/>
      <c r="J27" s="13"/>
      <c r="K27" s="13"/>
      <c r="L27" s="13"/>
      <c r="M27" s="13"/>
      <c r="N27" s="13"/>
    </row>
    <row r="28" spans="1:14" x14ac:dyDescent="0.4">
      <c r="A28" s="13"/>
      <c r="B28" s="13"/>
      <c r="C28" s="117"/>
      <c r="D28" s="13"/>
      <c r="E28" s="19"/>
      <c r="F28" s="13"/>
      <c r="G28" s="13"/>
      <c r="H28" s="13"/>
      <c r="I28" s="13"/>
      <c r="J28" s="13"/>
      <c r="K28" s="13"/>
      <c r="L28" s="13"/>
      <c r="M28" s="13"/>
      <c r="N28" s="13"/>
    </row>
    <row r="29" spans="1:14" x14ac:dyDescent="0.4">
      <c r="A29" s="13"/>
      <c r="B29" s="13"/>
      <c r="C29" s="14"/>
      <c r="D29" s="13"/>
      <c r="E29" s="17"/>
      <c r="F29" s="13"/>
      <c r="G29" s="13"/>
      <c r="H29" s="13"/>
      <c r="I29" s="13"/>
      <c r="J29" s="13"/>
      <c r="K29" s="13"/>
      <c r="L29" s="13"/>
      <c r="M29" s="13"/>
      <c r="N29" s="13"/>
    </row>
    <row r="30" spans="1:14" x14ac:dyDescent="0.4">
      <c r="A30" s="13"/>
      <c r="B30" s="13"/>
      <c r="C30" s="117" t="s">
        <v>39</v>
      </c>
      <c r="D30" s="13"/>
      <c r="E30" s="18" t="s">
        <v>40</v>
      </c>
      <c r="F30" s="13"/>
      <c r="G30" s="13"/>
      <c r="H30" s="13"/>
      <c r="I30" s="13"/>
      <c r="J30" s="13"/>
      <c r="K30" s="13"/>
      <c r="L30" s="13"/>
      <c r="M30" s="13"/>
      <c r="N30" s="13"/>
    </row>
    <row r="31" spans="1:14" x14ac:dyDescent="0.4">
      <c r="A31" s="13"/>
      <c r="B31" s="13"/>
      <c r="C31" s="117"/>
      <c r="D31" s="13"/>
      <c r="E31" s="18" t="s">
        <v>41</v>
      </c>
      <c r="F31" s="13"/>
      <c r="G31" s="13"/>
      <c r="H31" s="13"/>
      <c r="I31" s="13"/>
      <c r="J31" s="13"/>
      <c r="K31" s="13"/>
      <c r="L31" s="13"/>
      <c r="M31" s="13"/>
      <c r="N31" s="13"/>
    </row>
    <row r="32" spans="1:14" x14ac:dyDescent="0.4">
      <c r="A32" s="13"/>
      <c r="B32" s="13"/>
      <c r="C32" s="117"/>
      <c r="D32" s="13"/>
      <c r="E32" s="18" t="s">
        <v>42</v>
      </c>
      <c r="F32" s="13"/>
      <c r="G32" s="13"/>
      <c r="H32" s="13"/>
      <c r="I32" s="13"/>
      <c r="J32" s="13"/>
      <c r="K32" s="13"/>
      <c r="L32" s="13"/>
      <c r="M32" s="13"/>
      <c r="N32" s="13"/>
    </row>
    <row r="33" spans="1:14" x14ac:dyDescent="0.4">
      <c r="A33" s="13"/>
      <c r="B33" s="13"/>
      <c r="C33" s="117"/>
      <c r="D33" s="13"/>
      <c r="E33" s="18" t="s">
        <v>43</v>
      </c>
      <c r="F33" s="13"/>
      <c r="G33" s="13"/>
      <c r="H33" s="13"/>
      <c r="I33" s="13"/>
      <c r="J33" s="13"/>
      <c r="K33" s="13"/>
      <c r="L33" s="13"/>
      <c r="M33" s="13"/>
      <c r="N33" s="13"/>
    </row>
    <row r="34" spans="1:14" x14ac:dyDescent="0.4">
      <c r="A34" s="13"/>
      <c r="B34" s="13"/>
      <c r="C34" s="117"/>
      <c r="D34" s="13"/>
      <c r="E34" s="19"/>
      <c r="F34" s="13"/>
      <c r="G34" s="13"/>
      <c r="H34" s="13"/>
      <c r="I34" s="13"/>
      <c r="J34" s="13"/>
      <c r="K34" s="13"/>
      <c r="L34" s="13"/>
      <c r="M34" s="13"/>
      <c r="N34" s="13"/>
    </row>
    <row r="35" spans="1:14" x14ac:dyDescent="0.4">
      <c r="A35" s="13"/>
      <c r="B35" s="13"/>
      <c r="C35" s="117"/>
      <c r="D35" s="13"/>
      <c r="E35" s="19"/>
      <c r="F35" s="13"/>
      <c r="G35" s="13"/>
      <c r="H35" s="13"/>
      <c r="I35" s="13"/>
      <c r="J35" s="13"/>
      <c r="K35" s="13"/>
      <c r="L35" s="13"/>
      <c r="M35" s="13"/>
      <c r="N35" s="13"/>
    </row>
    <row r="36" spans="1:14" x14ac:dyDescent="0.4">
      <c r="A36" s="13"/>
      <c r="B36" s="13"/>
      <c r="C36" s="117"/>
      <c r="D36" s="13"/>
      <c r="E36" s="19"/>
      <c r="F36" s="13"/>
      <c r="G36" s="13"/>
      <c r="H36" s="13"/>
      <c r="I36" s="13"/>
      <c r="J36" s="13"/>
      <c r="K36" s="13"/>
      <c r="L36" s="13"/>
      <c r="M36" s="13"/>
      <c r="N36" s="13"/>
    </row>
    <row r="37" spans="1:14" x14ac:dyDescent="0.4">
      <c r="A37" s="13"/>
      <c r="B37" s="13"/>
      <c r="C37" s="14"/>
      <c r="D37" s="13"/>
      <c r="E37" s="17"/>
      <c r="F37" s="13"/>
      <c r="G37" s="13"/>
      <c r="H37" s="13"/>
      <c r="I37" s="13"/>
      <c r="J37" s="13"/>
      <c r="K37" s="13"/>
      <c r="L37" s="13"/>
      <c r="M37" s="13"/>
      <c r="N37" s="13"/>
    </row>
    <row r="38" spans="1:14" ht="46.5" x14ac:dyDescent="0.4">
      <c r="A38" s="13"/>
      <c r="B38" s="13"/>
      <c r="C38" s="117" t="str">
        <f>_xlfn.CONCAT("2.4 Complete the following table with estimates for the number of each outlet type per ",E17," for each stratum")</f>
        <v>2.4 Complete the following table with estimates for the number of each outlet type per [cluster name e.g. ward, arrondissement, etc] for each stratum</v>
      </c>
      <c r="D38" s="13"/>
      <c r="E38" s="50"/>
      <c r="F38" s="52" t="str">
        <f>IF(ISBLANK(E30),"-",E30)</f>
        <v>[outlet type 1 e.g. pharmacy]</v>
      </c>
      <c r="G38" s="52" t="str">
        <f>IF(ISBLANK(E31),"-",E31)</f>
        <v>[outlet type 1 e.g. hospital]</v>
      </c>
      <c r="H38" s="52" t="str">
        <f>IF(ISBLANK(E32),"-",E32)</f>
        <v>[outlet type 1 e.g. lab]</v>
      </c>
      <c r="I38" s="52" t="str">
        <f>IF(ISBLANK(E33),"-",E33)</f>
        <v>[outlet type 1 e.g. drug shop]</v>
      </c>
      <c r="J38" s="52" t="str">
        <f>IF(ISBLANK(E34),"-",E34)</f>
        <v>-</v>
      </c>
      <c r="K38" s="52" t="str">
        <f>IF(ISBLANK(E35),"-",E35)</f>
        <v>-</v>
      </c>
      <c r="L38" s="52" t="str">
        <f>IF(ISBLANK(E36),"-",E36)</f>
        <v>-</v>
      </c>
      <c r="M38" s="13"/>
      <c r="N38" s="13"/>
    </row>
    <row r="39" spans="1:14" x14ac:dyDescent="0.4">
      <c r="A39" s="13"/>
      <c r="B39" s="13"/>
      <c r="C39" s="117"/>
      <c r="D39" s="13"/>
      <c r="E39" s="51" t="str">
        <f t="shared" ref="E39:E48" si="0">IF(ISBLANK(E19),"-",E19)</f>
        <v>[strata 1 e.g. state 1]</v>
      </c>
      <c r="F39" s="57">
        <v>29</v>
      </c>
      <c r="G39" s="57">
        <v>25</v>
      </c>
      <c r="H39" s="57">
        <v>77</v>
      </c>
      <c r="I39" s="57">
        <v>34</v>
      </c>
      <c r="J39" s="16"/>
      <c r="K39" s="16"/>
      <c r="L39" s="16"/>
      <c r="M39" s="13"/>
      <c r="N39" s="13"/>
    </row>
    <row r="40" spans="1:14" ht="17.25" customHeight="1" x14ac:dyDescent="0.4">
      <c r="A40" s="13"/>
      <c r="B40" s="13"/>
      <c r="C40" s="117"/>
      <c r="D40" s="13"/>
      <c r="E40" s="51" t="str">
        <f t="shared" si="0"/>
        <v>[strata 2 e.g. state 2]</v>
      </c>
      <c r="F40" s="57">
        <v>11</v>
      </c>
      <c r="G40" s="57">
        <v>9</v>
      </c>
      <c r="H40" s="57">
        <v>43</v>
      </c>
      <c r="I40" s="57">
        <v>12</v>
      </c>
      <c r="J40" s="16"/>
      <c r="K40" s="16"/>
      <c r="L40" s="16"/>
      <c r="M40" s="13"/>
      <c r="N40" s="13"/>
    </row>
    <row r="41" spans="1:14" x14ac:dyDescent="0.4">
      <c r="A41" s="13"/>
      <c r="B41" s="13"/>
      <c r="C41" s="117"/>
      <c r="D41" s="13"/>
      <c r="E41" s="51" t="str">
        <f t="shared" si="0"/>
        <v>[strata 3 e.g. state 3]</v>
      </c>
      <c r="F41" s="57">
        <v>100</v>
      </c>
      <c r="G41" s="57">
        <v>5</v>
      </c>
      <c r="H41" s="57">
        <v>88</v>
      </c>
      <c r="I41" s="57">
        <v>5</v>
      </c>
      <c r="J41" s="16"/>
      <c r="K41" s="16"/>
      <c r="L41" s="16"/>
      <c r="M41" s="13"/>
      <c r="N41" s="13"/>
    </row>
    <row r="42" spans="1:14" x14ac:dyDescent="0.4">
      <c r="A42" s="13"/>
      <c r="B42" s="13"/>
      <c r="C42" s="117"/>
      <c r="D42" s="13"/>
      <c r="E42" s="51" t="str">
        <f t="shared" si="0"/>
        <v>[strata 4 e.g. state 4]</v>
      </c>
      <c r="F42" s="57">
        <v>20</v>
      </c>
      <c r="G42" s="57">
        <v>2</v>
      </c>
      <c r="H42" s="57">
        <v>23</v>
      </c>
      <c r="I42" s="57">
        <v>83</v>
      </c>
      <c r="J42" s="16"/>
      <c r="K42" s="16"/>
      <c r="L42" s="16"/>
      <c r="M42" s="13"/>
      <c r="N42" s="13"/>
    </row>
    <row r="43" spans="1:14" x14ac:dyDescent="0.4">
      <c r="A43" s="13"/>
      <c r="B43" s="13"/>
      <c r="C43" s="117"/>
      <c r="D43" s="13"/>
      <c r="E43" s="51" t="str">
        <f t="shared" si="0"/>
        <v>[strata 5 e.g. state 5]</v>
      </c>
      <c r="F43" s="57">
        <v>45</v>
      </c>
      <c r="G43" s="57">
        <v>15</v>
      </c>
      <c r="H43" s="57">
        <v>34</v>
      </c>
      <c r="I43" s="57">
        <v>3</v>
      </c>
      <c r="J43" s="16"/>
      <c r="K43" s="16"/>
      <c r="L43" s="16"/>
      <c r="M43" s="13"/>
      <c r="N43" s="13"/>
    </row>
    <row r="44" spans="1:14" x14ac:dyDescent="0.4">
      <c r="A44" s="13"/>
      <c r="B44" s="13"/>
      <c r="C44" s="117"/>
      <c r="D44" s="13"/>
      <c r="E44" s="51" t="str">
        <f t="shared" si="0"/>
        <v>-</v>
      </c>
      <c r="F44" s="16"/>
      <c r="G44" s="16"/>
      <c r="H44" s="16"/>
      <c r="I44" s="16"/>
      <c r="J44" s="16"/>
      <c r="K44" s="16"/>
      <c r="L44" s="16"/>
      <c r="M44" s="13"/>
      <c r="N44" s="13"/>
    </row>
    <row r="45" spans="1:14" x14ac:dyDescent="0.4">
      <c r="A45" s="13"/>
      <c r="B45" s="13"/>
      <c r="C45" s="117"/>
      <c r="D45" s="13"/>
      <c r="E45" s="51" t="str">
        <f t="shared" si="0"/>
        <v>-</v>
      </c>
      <c r="F45" s="16"/>
      <c r="G45" s="16"/>
      <c r="H45" s="16"/>
      <c r="I45" s="16"/>
      <c r="J45" s="16"/>
      <c r="K45" s="16"/>
      <c r="L45" s="16"/>
      <c r="M45" s="13"/>
      <c r="N45" s="13"/>
    </row>
    <row r="46" spans="1:14" x14ac:dyDescent="0.4">
      <c r="A46" s="13"/>
      <c r="B46" s="13"/>
      <c r="C46" s="117"/>
      <c r="D46" s="13"/>
      <c r="E46" s="51" t="str">
        <f t="shared" si="0"/>
        <v>-</v>
      </c>
      <c r="F46" s="16"/>
      <c r="G46" s="16"/>
      <c r="H46" s="16"/>
      <c r="I46" s="16"/>
      <c r="J46" s="16"/>
      <c r="K46" s="16"/>
      <c r="L46" s="16"/>
      <c r="M46" s="13"/>
      <c r="N46" s="13"/>
    </row>
    <row r="47" spans="1:14" x14ac:dyDescent="0.4">
      <c r="A47" s="13"/>
      <c r="B47" s="13"/>
      <c r="C47" s="117"/>
      <c r="D47" s="13"/>
      <c r="E47" s="51" t="str">
        <f t="shared" si="0"/>
        <v>-</v>
      </c>
      <c r="F47" s="16"/>
      <c r="G47" s="16"/>
      <c r="H47" s="16"/>
      <c r="I47" s="16"/>
      <c r="J47" s="16"/>
      <c r="K47" s="16"/>
      <c r="L47" s="16"/>
      <c r="M47" s="13"/>
      <c r="N47" s="13"/>
    </row>
    <row r="48" spans="1:14" x14ac:dyDescent="0.4">
      <c r="A48" s="13"/>
      <c r="B48" s="13"/>
      <c r="C48" s="14"/>
      <c r="D48" s="13"/>
      <c r="E48" s="51" t="str">
        <f t="shared" si="0"/>
        <v>-</v>
      </c>
      <c r="F48" s="16"/>
      <c r="G48" s="16"/>
      <c r="H48" s="16"/>
      <c r="I48" s="16"/>
      <c r="J48" s="16"/>
      <c r="K48" s="16"/>
      <c r="L48" s="16"/>
      <c r="M48" s="13"/>
      <c r="N48" s="13"/>
    </row>
    <row r="49" spans="1:14" x14ac:dyDescent="0.4">
      <c r="A49" s="13"/>
      <c r="B49" s="13"/>
      <c r="C49" s="14"/>
      <c r="D49" s="13"/>
      <c r="E49" s="17"/>
      <c r="F49" s="13"/>
      <c r="G49" s="13"/>
      <c r="H49" s="13"/>
      <c r="I49" s="13"/>
      <c r="J49" s="13"/>
      <c r="K49" s="13"/>
      <c r="L49" s="13"/>
      <c r="M49" s="13"/>
      <c r="N49" s="13"/>
    </row>
    <row r="50" spans="1:14" s="11" customFormat="1" ht="21.75" customHeight="1" x14ac:dyDescent="0.4">
      <c r="A50" s="33"/>
      <c r="B50" s="92" t="s">
        <v>44</v>
      </c>
      <c r="C50" s="118" t="s">
        <v>45</v>
      </c>
      <c r="D50" s="118"/>
      <c r="E50" s="118"/>
      <c r="F50" s="118"/>
      <c r="G50" s="118"/>
      <c r="H50" s="118"/>
      <c r="I50" s="118"/>
      <c r="J50" s="118"/>
      <c r="K50" s="118"/>
      <c r="L50" s="118"/>
      <c r="M50" s="33"/>
      <c r="N50" s="33"/>
    </row>
    <row r="51" spans="1:14" s="11" customFormat="1" ht="21.75" customHeight="1" x14ac:dyDescent="0.4">
      <c r="A51" s="33"/>
      <c r="B51" s="33"/>
      <c r="C51" s="33"/>
      <c r="D51" s="33"/>
      <c r="E51" s="58"/>
      <c r="F51" s="33"/>
      <c r="G51" s="33"/>
      <c r="H51" s="33"/>
      <c r="I51" s="33"/>
      <c r="J51" s="33"/>
      <c r="K51" s="33"/>
      <c r="L51" s="33"/>
      <c r="M51" s="33"/>
      <c r="N51" s="33"/>
    </row>
    <row r="52" spans="1:14" x14ac:dyDescent="0.4">
      <c r="A52" s="13"/>
      <c r="B52" s="13"/>
      <c r="C52" s="13" t="s">
        <v>46</v>
      </c>
      <c r="D52" s="13"/>
      <c r="E52" s="59">
        <v>0.95</v>
      </c>
      <c r="F52" s="13"/>
      <c r="G52" s="13"/>
      <c r="H52" s="13"/>
      <c r="I52" s="13"/>
      <c r="J52" s="13"/>
      <c r="K52" s="13"/>
      <c r="L52" s="13"/>
      <c r="M52" s="13"/>
      <c r="N52" s="13"/>
    </row>
    <row r="53" spans="1:14" x14ac:dyDescent="0.4">
      <c r="A53" s="13"/>
      <c r="B53" s="13"/>
      <c r="C53" s="13" t="s">
        <v>47</v>
      </c>
      <c r="D53" s="13"/>
      <c r="E53" s="59">
        <v>0.05</v>
      </c>
      <c r="F53" s="13"/>
      <c r="G53" s="13"/>
      <c r="H53" s="13"/>
      <c r="I53" s="13"/>
      <c r="J53" s="13"/>
      <c r="K53" s="13"/>
      <c r="L53" s="13"/>
      <c r="M53" s="13"/>
      <c r="N53" s="13"/>
    </row>
    <row r="54" spans="1:14" x14ac:dyDescent="0.4">
      <c r="A54" s="13"/>
      <c r="B54" s="13"/>
      <c r="C54" s="13" t="s">
        <v>48</v>
      </c>
      <c r="D54" s="13"/>
      <c r="E54" s="59">
        <v>0.5</v>
      </c>
      <c r="F54" s="13"/>
      <c r="G54" s="13"/>
      <c r="H54" s="13"/>
      <c r="I54" s="13"/>
      <c r="J54" s="13"/>
      <c r="K54" s="13"/>
      <c r="L54" s="13"/>
      <c r="M54" s="13"/>
      <c r="N54" s="13"/>
    </row>
    <row r="55" spans="1:14" x14ac:dyDescent="0.4">
      <c r="A55" s="13"/>
      <c r="B55" s="13"/>
      <c r="C55" s="13" t="s">
        <v>49</v>
      </c>
      <c r="D55" s="13"/>
      <c r="E55" s="60">
        <v>100</v>
      </c>
      <c r="F55" s="13"/>
      <c r="G55" s="13"/>
      <c r="H55" s="13"/>
      <c r="I55" s="13"/>
      <c r="J55" s="13"/>
      <c r="K55" s="13"/>
      <c r="L55" s="13"/>
      <c r="M55" s="13"/>
      <c r="N55" s="13"/>
    </row>
    <row r="56" spans="1:14" x14ac:dyDescent="0.4">
      <c r="A56" s="13"/>
      <c r="B56" s="13"/>
      <c r="C56" s="13" t="s">
        <v>50</v>
      </c>
      <c r="D56" s="13"/>
      <c r="E56" s="61">
        <v>2</v>
      </c>
      <c r="F56" s="13"/>
      <c r="G56" s="13"/>
      <c r="H56" s="13"/>
      <c r="I56" s="13"/>
      <c r="J56" s="13"/>
      <c r="K56" s="13"/>
      <c r="L56" s="13"/>
      <c r="M56" s="13"/>
      <c r="N56" s="13"/>
    </row>
    <row r="57" spans="1:14" x14ac:dyDescent="0.4">
      <c r="A57" s="13"/>
      <c r="B57" s="13"/>
      <c r="C57" s="14" t="s">
        <v>51</v>
      </c>
      <c r="D57" s="13"/>
      <c r="E57" s="108">
        <v>0.05</v>
      </c>
      <c r="F57" s="13"/>
      <c r="G57" s="13"/>
      <c r="H57" s="13"/>
      <c r="I57" s="13"/>
      <c r="J57" s="13"/>
      <c r="K57" s="13"/>
      <c r="L57" s="13"/>
      <c r="M57" s="13"/>
      <c r="N57" s="13"/>
    </row>
    <row r="58" spans="1:14" x14ac:dyDescent="0.4">
      <c r="A58" s="13"/>
      <c r="B58" s="13"/>
      <c r="C58" s="14"/>
      <c r="D58" s="13"/>
      <c r="E58" s="17"/>
      <c r="F58" s="13"/>
      <c r="G58" s="13"/>
      <c r="H58" s="13"/>
      <c r="I58" s="13"/>
      <c r="J58" s="13"/>
      <c r="K58" s="13"/>
      <c r="L58" s="13"/>
      <c r="M58" s="13"/>
      <c r="N58" s="13"/>
    </row>
    <row r="59" spans="1:14" x14ac:dyDescent="0.4">
      <c r="A59" s="13"/>
      <c r="B59" s="13"/>
      <c r="C59" s="14"/>
      <c r="D59" s="13"/>
      <c r="E59" s="17"/>
      <c r="F59" s="13"/>
      <c r="G59" s="13"/>
      <c r="H59" s="13"/>
      <c r="I59" s="13"/>
      <c r="J59" s="13"/>
      <c r="K59" s="13"/>
      <c r="L59" s="13"/>
      <c r="M59" s="13"/>
      <c r="N59" s="13"/>
    </row>
    <row r="60" spans="1:14" s="11" customFormat="1" ht="21.75" customHeight="1" x14ac:dyDescent="0.4">
      <c r="A60" s="33"/>
      <c r="B60" s="92" t="s">
        <v>52</v>
      </c>
      <c r="C60" s="94" t="s">
        <v>53</v>
      </c>
      <c r="D60" s="92"/>
      <c r="E60" s="95"/>
      <c r="F60" s="92"/>
      <c r="G60" s="92"/>
      <c r="H60" s="92"/>
      <c r="I60" s="92"/>
      <c r="J60" s="92"/>
      <c r="K60" s="92"/>
      <c r="L60" s="92"/>
      <c r="M60" s="33"/>
      <c r="N60" s="33"/>
    </row>
    <row r="61" spans="1:14" x14ac:dyDescent="0.4">
      <c r="A61" s="13"/>
      <c r="B61" s="13" t="s">
        <v>54</v>
      </c>
      <c r="C61" s="14"/>
      <c r="D61" s="13"/>
      <c r="E61" s="17"/>
      <c r="F61" s="13"/>
      <c r="G61" s="13"/>
      <c r="H61" s="13"/>
      <c r="I61" s="13"/>
      <c r="J61" s="13"/>
      <c r="K61" s="13"/>
      <c r="L61" s="13"/>
      <c r="M61" s="13"/>
      <c r="N61" s="13"/>
    </row>
    <row r="62" spans="1:14" x14ac:dyDescent="0.4">
      <c r="A62" s="13"/>
      <c r="B62" s="13"/>
      <c r="C62" s="14"/>
      <c r="D62" s="13"/>
      <c r="E62" s="17"/>
      <c r="F62" s="13"/>
      <c r="G62" s="13"/>
      <c r="H62" s="13"/>
      <c r="I62" s="13"/>
      <c r="J62" s="13"/>
      <c r="K62" s="13"/>
      <c r="L62" s="13"/>
      <c r="M62" s="13"/>
      <c r="N62" s="13"/>
    </row>
    <row r="63" spans="1:14" x14ac:dyDescent="0.4">
      <c r="A63" s="13"/>
      <c r="B63" s="13"/>
      <c r="C63" s="14"/>
      <c r="D63" s="13"/>
      <c r="E63" s="17"/>
      <c r="F63" s="13"/>
      <c r="G63" s="13"/>
      <c r="H63" s="13"/>
      <c r="I63" s="13"/>
      <c r="J63" s="13"/>
      <c r="K63" s="13"/>
      <c r="L63" s="13"/>
      <c r="M63" s="13"/>
      <c r="N63" s="13"/>
    </row>
    <row r="64" spans="1:14" x14ac:dyDescent="0.4">
      <c r="A64" s="13"/>
      <c r="B64" s="13"/>
      <c r="C64" s="14"/>
      <c r="D64" s="13"/>
      <c r="E64" s="17"/>
      <c r="F64" s="13"/>
      <c r="G64" s="13"/>
      <c r="H64" s="13"/>
      <c r="I64" s="13"/>
      <c r="J64" s="13"/>
      <c r="K64" s="13"/>
      <c r="L64" s="13"/>
      <c r="M64" s="13"/>
      <c r="N64" s="13"/>
    </row>
    <row r="65" spans="1:14" x14ac:dyDescent="0.4">
      <c r="A65" s="13"/>
      <c r="B65" s="13"/>
      <c r="C65" s="14"/>
      <c r="D65" s="13"/>
      <c r="E65" s="17"/>
      <c r="F65" s="13"/>
      <c r="G65" s="13"/>
      <c r="H65" s="13"/>
      <c r="I65" s="13"/>
      <c r="J65" s="13"/>
      <c r="K65" s="13"/>
      <c r="L65" s="13"/>
      <c r="M65" s="13"/>
      <c r="N65" s="13"/>
    </row>
  </sheetData>
  <mergeCells count="9">
    <mergeCell ref="C30:C36"/>
    <mergeCell ref="C38:C47"/>
    <mergeCell ref="C50:L50"/>
    <mergeCell ref="B1:E1"/>
    <mergeCell ref="B2:E2"/>
    <mergeCell ref="B3:E3"/>
    <mergeCell ref="C5:E5"/>
    <mergeCell ref="C15:L15"/>
    <mergeCell ref="C19:C28"/>
  </mergeCells>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350F7-6BCE-4501-AC35-6F23D11F3F59}">
  <dimension ref="A1:N34"/>
  <sheetViews>
    <sheetView showGridLines="0" workbookViewId="0">
      <selection activeCell="D10" sqref="D10"/>
    </sheetView>
  </sheetViews>
  <sheetFormatPr defaultColWidth="0" defaultRowHeight="14.5" zeroHeight="1" x14ac:dyDescent="0.35"/>
  <cols>
    <col min="1" max="2" width="10.83203125" style="23" customWidth="1"/>
    <col min="3" max="3" width="63.5" style="23" customWidth="1"/>
    <col min="4" max="4" width="37.83203125" style="23" customWidth="1"/>
    <col min="5" max="5" width="12" style="23" bestFit="1" customWidth="1"/>
    <col min="6" max="6" width="10.83203125" style="23" customWidth="1"/>
    <col min="7" max="7" width="26.83203125" style="23" hidden="1" customWidth="1"/>
    <col min="8" max="13" width="0" style="23" hidden="1" customWidth="1"/>
    <col min="14" max="16384" width="10.83203125" style="23" hidden="1"/>
  </cols>
  <sheetData>
    <row r="1" spans="1:14" s="10" customFormat="1" ht="15.5" x14ac:dyDescent="0.4">
      <c r="A1" s="9"/>
      <c r="B1" s="119" t="s">
        <v>19</v>
      </c>
      <c r="C1" s="119"/>
      <c r="D1" s="119"/>
      <c r="E1" s="119"/>
      <c r="F1" s="9"/>
      <c r="G1" s="9"/>
      <c r="H1" s="9"/>
      <c r="I1" s="9"/>
      <c r="J1" s="9"/>
      <c r="K1" s="9"/>
      <c r="L1" s="9"/>
      <c r="M1" s="9"/>
      <c r="N1" s="9"/>
    </row>
    <row r="2" spans="1:14" s="10" customFormat="1" ht="15.5" x14ac:dyDescent="0.4">
      <c r="A2" s="9"/>
      <c r="B2" s="119" t="s">
        <v>20</v>
      </c>
      <c r="C2" s="119"/>
      <c r="D2" s="119"/>
      <c r="E2" s="119"/>
      <c r="F2" s="9"/>
      <c r="G2" s="9"/>
      <c r="H2" s="9"/>
      <c r="I2" s="9"/>
      <c r="J2" s="9"/>
      <c r="K2" s="9"/>
      <c r="L2" s="9"/>
      <c r="M2" s="9"/>
      <c r="N2" s="9"/>
    </row>
    <row r="3" spans="1:14" s="10" customFormat="1" ht="15.5" x14ac:dyDescent="0.4">
      <c r="A3" s="9"/>
      <c r="B3" s="120" t="s">
        <v>21</v>
      </c>
      <c r="C3" s="121"/>
      <c r="D3" s="121"/>
      <c r="E3" s="121"/>
      <c r="F3" s="9"/>
      <c r="G3" s="9"/>
      <c r="H3" s="9"/>
      <c r="I3" s="9"/>
      <c r="J3" s="9"/>
      <c r="K3" s="9"/>
      <c r="L3" s="9"/>
      <c r="M3" s="9"/>
      <c r="N3" s="9"/>
    </row>
    <row r="4" spans="1:14" s="10" customFormat="1" ht="15.5" x14ac:dyDescent="0.4">
      <c r="A4" s="13"/>
      <c r="B4" s="13"/>
      <c r="C4" s="14"/>
      <c r="D4" s="13"/>
      <c r="E4" s="17"/>
      <c r="F4" s="13"/>
      <c r="G4" s="13"/>
      <c r="H4" s="13"/>
      <c r="I4" s="13"/>
      <c r="J4" s="13"/>
      <c r="K4" s="13"/>
      <c r="L4" s="13"/>
      <c r="M4" s="13"/>
      <c r="N4" s="13"/>
    </row>
    <row r="5" spans="1:14" x14ac:dyDescent="0.35">
      <c r="A5" s="21"/>
      <c r="B5" s="21"/>
      <c r="C5" s="21"/>
      <c r="D5" s="21"/>
      <c r="E5" s="21"/>
      <c r="F5" s="21"/>
    </row>
    <row r="6" spans="1:14" ht="18" x14ac:dyDescent="0.35">
      <c r="A6" s="21"/>
      <c r="B6" s="92" t="s">
        <v>52</v>
      </c>
      <c r="C6" s="94" t="s">
        <v>55</v>
      </c>
      <c r="D6" s="92"/>
      <c r="E6" s="92"/>
      <c r="F6" s="29"/>
      <c r="G6" s="24"/>
      <c r="H6" s="24"/>
      <c r="I6" s="24"/>
      <c r="J6" s="24"/>
      <c r="K6" s="24"/>
      <c r="L6" s="24"/>
      <c r="M6" s="24"/>
    </row>
    <row r="7" spans="1:14" ht="15.5" x14ac:dyDescent="0.35">
      <c r="A7" s="21"/>
      <c r="B7" s="13"/>
      <c r="C7" s="14"/>
      <c r="D7" s="21"/>
      <c r="E7" s="13"/>
      <c r="F7" s="17"/>
      <c r="G7" s="10"/>
      <c r="H7" s="10"/>
      <c r="I7" s="10"/>
      <c r="J7" s="10"/>
      <c r="K7" s="10"/>
      <c r="L7" s="10"/>
      <c r="M7" s="10"/>
    </row>
    <row r="8" spans="1:14" x14ac:dyDescent="0.35">
      <c r="A8" s="21"/>
      <c r="B8" s="21"/>
      <c r="C8" s="122" t="str">
        <f>_xlfn.CONCAT("This tab shows the minimum number of primary sampling units (",'1. INPUTS'!E18,"s) to include in your study for each stratum")</f>
        <v>This tab shows the minimum number of primary sampling units (s) to include in your study for each stratum</v>
      </c>
      <c r="D8" s="122"/>
      <c r="E8" s="21"/>
      <c r="F8" s="21"/>
    </row>
    <row r="9" spans="1:14" x14ac:dyDescent="0.35">
      <c r="A9" s="21"/>
      <c r="B9" s="21"/>
      <c r="C9" s="21"/>
      <c r="D9" s="21"/>
      <c r="E9" s="21"/>
      <c r="F9" s="21"/>
    </row>
    <row r="10" spans="1:14" ht="48.75" customHeight="1" x14ac:dyDescent="0.35">
      <c r="A10" s="21"/>
      <c r="B10" s="21"/>
      <c r="C10" s="55" t="s">
        <v>56</v>
      </c>
      <c r="D10" s="56">
        <f>IF(ISBLANK('1. INPUTS'!E55),('1. INPUTS'!E57+1*('1. INPUTS'!E56*(((_xlfn.NORM.S.INV(1-((1-'1. INPUTS'!E52)/2)))^2*('1. INPUTS'!E54*(1-'1. INPUTS'!E54))/('1. INPUTS'!E53)^2)))),('1. INPUTS'!E57+1*('1. INPUTS'!E56*((((_xlfn.NORM.S.INV(1-((1-'1. INPUTS'!E52)/2)))^2*('1. INPUTS'!E54*(1-'1. INPUTS'!E54))/('1. INPUTS'!E53)^2))/(1+((_xlfn.NORM.S.INV(1-((1-'1. INPUTS'!E52)/2)))^2*('1. INPUTS'!E54*(1-'1. INPUTS'!E54))/(('1. INPUTS'!E53)^2*'1. INPUTS'!E55)))))))</f>
        <v>158.74013712455252</v>
      </c>
      <c r="E10" s="21"/>
      <c r="F10" s="21"/>
    </row>
    <row r="11" spans="1:14" x14ac:dyDescent="0.35">
      <c r="A11" s="21"/>
      <c r="B11" s="21"/>
      <c r="C11" s="21"/>
      <c r="D11" s="21"/>
      <c r="E11" s="21"/>
      <c r="F11" s="21"/>
    </row>
    <row r="12" spans="1:14" ht="48.75" customHeight="1" x14ac:dyDescent="0.35">
      <c r="A12" s="21"/>
      <c r="B12" s="21"/>
      <c r="C12" s="123" t="str">
        <f>_xlfn.CONCAT("This means ",ROUNDUP(D10,0), " or more outlets per stratum are needed to have a confidence level of ",'1. INPUTS'!E52," that the real value is within +/-", '1. INPUTS'!E53," of the measured/surveyed value.")</f>
        <v>This means 159 or more outlets per stratum are needed to have a confidence level of 0.95 that the real value is within +/-0.05 of the measured/surveyed value.</v>
      </c>
      <c r="D12" s="123"/>
      <c r="E12" s="21"/>
      <c r="F12" s="21"/>
    </row>
    <row r="13" spans="1:14" x14ac:dyDescent="0.35">
      <c r="A13" s="21"/>
      <c r="B13" s="21"/>
      <c r="C13" s="21"/>
      <c r="D13" s="21"/>
      <c r="E13" s="21"/>
      <c r="F13" s="21"/>
    </row>
    <row r="14" spans="1:14" ht="43.5" x14ac:dyDescent="0.35">
      <c r="A14" s="21"/>
      <c r="B14" s="21"/>
      <c r="C14" s="53" t="s">
        <v>57</v>
      </c>
      <c r="D14" s="54" t="str">
        <f>_xlfn.CONCAT("Minimum number of ",'1. INPUTS'!E17,"s needed to get required sample size in each stratum")</f>
        <v>Minimum number of [cluster name e.g. ward, arrondissement, etc]s needed to get required sample size in each stratum</v>
      </c>
      <c r="E14" s="21"/>
      <c r="F14" s="21"/>
    </row>
    <row r="15" spans="1:14" x14ac:dyDescent="0.35">
      <c r="A15" s="21"/>
      <c r="B15" s="21"/>
      <c r="C15" s="32" t="str">
        <f>IF(ISBLANK('1. INPUTS'!E39),"-",'1. INPUTS'!E39)</f>
        <v>[strata 1 e.g. state 1]</v>
      </c>
      <c r="D15" s="32">
        <f>IF(C15="-","",ROUNDUP($D$10/(MIN('1. INPUTS'!F39:L39)),0))</f>
        <v>7</v>
      </c>
      <c r="E15" s="21"/>
      <c r="F15" s="21"/>
    </row>
    <row r="16" spans="1:14" x14ac:dyDescent="0.35">
      <c r="A16" s="21"/>
      <c r="B16" s="21"/>
      <c r="C16" s="32" t="str">
        <f>IF(ISBLANK('1. INPUTS'!E40),"-",'1. INPUTS'!E40)</f>
        <v>[strata 2 e.g. state 2]</v>
      </c>
      <c r="D16" s="32">
        <f>IF(C16="-","",ROUNDUP($D$10/(MIN('1. INPUTS'!F40:L40)),0))</f>
        <v>18</v>
      </c>
      <c r="E16" s="21"/>
      <c r="F16" s="21"/>
    </row>
    <row r="17" spans="1:13" x14ac:dyDescent="0.35">
      <c r="A17" s="21"/>
      <c r="B17" s="21"/>
      <c r="C17" s="32" t="str">
        <f>IF(ISBLANK('1. INPUTS'!E41),"-",'1. INPUTS'!E41)</f>
        <v>[strata 3 e.g. state 3]</v>
      </c>
      <c r="D17" s="32">
        <f>IF(C17="-","",ROUNDUP($D$10/(MIN('1. INPUTS'!F41:L41)),0))</f>
        <v>32</v>
      </c>
      <c r="E17" s="21"/>
      <c r="F17" s="21"/>
    </row>
    <row r="18" spans="1:13" x14ac:dyDescent="0.35">
      <c r="A18" s="21"/>
      <c r="B18" s="21"/>
      <c r="C18" s="32" t="str">
        <f>IF(ISBLANK('1. INPUTS'!E42),"-",'1. INPUTS'!E42)</f>
        <v>[strata 4 e.g. state 4]</v>
      </c>
      <c r="D18" s="32">
        <f>IF(C18="-","",ROUNDUP($D$10/(MIN('1. INPUTS'!F42:L42)),0))</f>
        <v>80</v>
      </c>
      <c r="E18" s="21"/>
      <c r="F18" s="21"/>
    </row>
    <row r="19" spans="1:13" x14ac:dyDescent="0.35">
      <c r="A19" s="21"/>
      <c r="B19" s="21"/>
      <c r="C19" s="32" t="str">
        <f>IF(ISBLANK('1. INPUTS'!E43),"-",'1. INPUTS'!E43)</f>
        <v>[strata 5 e.g. state 5]</v>
      </c>
      <c r="D19" s="32">
        <f>IF(C19="-","",ROUNDUP($D$10/(MIN('1. INPUTS'!F43:L43)),0))</f>
        <v>53</v>
      </c>
      <c r="E19" s="21"/>
      <c r="F19" s="21"/>
    </row>
    <row r="20" spans="1:13" x14ac:dyDescent="0.35">
      <c r="A20" s="21"/>
      <c r="B20" s="21"/>
      <c r="C20" s="32" t="str">
        <f>IF(ISBLANK('1. INPUTS'!E44),"-",'1. INPUTS'!E44)</f>
        <v>-</v>
      </c>
      <c r="D20" s="32" t="str">
        <f>IF(C20="-","",ROUNDUP($D$10/(MIN('1. INPUTS'!F44:L44)),0))</f>
        <v/>
      </c>
      <c r="E20" s="21"/>
      <c r="F20" s="21"/>
    </row>
    <row r="21" spans="1:13" x14ac:dyDescent="0.35">
      <c r="A21" s="21"/>
      <c r="B21" s="21"/>
      <c r="C21" s="32" t="str">
        <f>IF(ISBLANK('1. INPUTS'!E45),"-",'1. INPUTS'!E45)</f>
        <v>-</v>
      </c>
      <c r="D21" s="32" t="str">
        <f>IF(C21="-","",ROUNDUP($D$10/(MIN('1. INPUTS'!F45:L45)),0))</f>
        <v/>
      </c>
      <c r="E21" s="21"/>
      <c r="F21" s="21"/>
    </row>
    <row r="22" spans="1:13" x14ac:dyDescent="0.35">
      <c r="A22" s="21"/>
      <c r="B22" s="21"/>
      <c r="C22" s="32" t="str">
        <f>IF(ISBLANK('1. INPUTS'!E46),"-",'1. INPUTS'!E46)</f>
        <v>-</v>
      </c>
      <c r="D22" s="32" t="str">
        <f>IF(C22="-","",ROUNDUP($D$10/(MIN('1. INPUTS'!F46:L46)),0))</f>
        <v/>
      </c>
      <c r="E22" s="21"/>
      <c r="F22" s="21"/>
    </row>
    <row r="23" spans="1:13" x14ac:dyDescent="0.35">
      <c r="A23" s="21"/>
      <c r="B23" s="21"/>
      <c r="C23" s="32" t="str">
        <f>IF(ISBLANK('1. INPUTS'!E47),"-",'1. INPUTS'!E47)</f>
        <v>-</v>
      </c>
      <c r="D23" s="32" t="str">
        <f>IF(C23="-","",ROUNDUP($D$10/(MIN('1. INPUTS'!F47:L47)),0))</f>
        <v/>
      </c>
      <c r="E23" s="21"/>
      <c r="F23" s="21"/>
    </row>
    <row r="24" spans="1:13" x14ac:dyDescent="0.35">
      <c r="A24" s="21"/>
      <c r="B24" s="21"/>
      <c r="C24" s="32" t="str">
        <f>IF(ISBLANK('1. INPUTS'!E48),"-",'1. INPUTS'!E48)</f>
        <v>-</v>
      </c>
      <c r="D24" s="32" t="str">
        <f>IF(C24="-","",ROUNDUP($D$10/(MIN('1. INPUTS'!F48:L48)),0))</f>
        <v/>
      </c>
      <c r="E24" s="21"/>
      <c r="F24" s="21"/>
    </row>
    <row r="25" spans="1:13" x14ac:dyDescent="0.35">
      <c r="A25" s="21"/>
      <c r="B25" s="21"/>
      <c r="C25" s="21"/>
      <c r="D25" s="21"/>
      <c r="E25" s="21"/>
      <c r="F25" s="21"/>
    </row>
    <row r="26" spans="1:13" x14ac:dyDescent="0.35">
      <c r="A26" s="21"/>
      <c r="B26" s="21"/>
      <c r="C26" s="21"/>
      <c r="D26" s="21"/>
      <c r="E26" s="21"/>
      <c r="F26" s="21"/>
    </row>
    <row r="27" spans="1:13" ht="15.5" x14ac:dyDescent="0.35">
      <c r="A27" s="21"/>
      <c r="B27" s="89" t="s">
        <v>58</v>
      </c>
      <c r="C27" s="91" t="s">
        <v>59</v>
      </c>
      <c r="D27" s="97"/>
      <c r="E27" s="90"/>
      <c r="F27" s="17"/>
      <c r="G27" s="10"/>
      <c r="H27" s="10"/>
      <c r="I27" s="10"/>
      <c r="J27" s="10"/>
      <c r="K27" s="10"/>
      <c r="L27" s="10"/>
      <c r="M27" s="10"/>
    </row>
    <row r="28" spans="1:13" ht="15.5" x14ac:dyDescent="0.35">
      <c r="A28" s="21"/>
      <c r="B28" s="13" t="s">
        <v>54</v>
      </c>
      <c r="C28" s="14"/>
      <c r="D28" s="21"/>
      <c r="E28" s="21"/>
      <c r="F28" s="21"/>
    </row>
    <row r="29" spans="1:13" ht="15.5" x14ac:dyDescent="0.35">
      <c r="A29" s="21"/>
      <c r="B29" s="13"/>
      <c r="C29" s="14"/>
      <c r="D29" s="21"/>
      <c r="E29" s="21"/>
      <c r="F29" s="21"/>
    </row>
    <row r="30" spans="1:13" x14ac:dyDescent="0.35">
      <c r="A30" s="21"/>
      <c r="B30" s="21"/>
      <c r="C30" s="21"/>
      <c r="D30" s="21"/>
      <c r="E30" s="21"/>
      <c r="F30" s="21"/>
    </row>
    <row r="31" spans="1:13" x14ac:dyDescent="0.35">
      <c r="A31" s="21"/>
      <c r="B31" s="21"/>
      <c r="C31" s="21"/>
      <c r="D31" s="21"/>
      <c r="E31" s="21"/>
      <c r="F31" s="21"/>
    </row>
    <row r="32" spans="1:13" x14ac:dyDescent="0.35">
      <c r="A32" s="21"/>
      <c r="B32" s="21"/>
      <c r="C32" s="21"/>
      <c r="D32" s="21"/>
      <c r="E32" s="21"/>
      <c r="F32" s="21"/>
    </row>
    <row r="33" s="23" customFormat="1" hidden="1" x14ac:dyDescent="0.35"/>
    <row r="34" s="23" customFormat="1" hidden="1" x14ac:dyDescent="0.35"/>
  </sheetData>
  <mergeCells count="5">
    <mergeCell ref="C8:D8"/>
    <mergeCell ref="C12:D12"/>
    <mergeCell ref="B1:E1"/>
    <mergeCell ref="B2:E2"/>
    <mergeCell ref="B3:E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1E87-A67A-1045-8AEB-69FE111ED369}">
  <dimension ref="A1:N207"/>
  <sheetViews>
    <sheetView showGridLines="0" topLeftCell="B246" zoomScale="85" zoomScaleNormal="85" workbookViewId="0">
      <selection activeCell="F19" sqref="F19"/>
    </sheetView>
  </sheetViews>
  <sheetFormatPr defaultColWidth="11" defaultRowHeight="14.5" x14ac:dyDescent="0.35"/>
  <cols>
    <col min="1" max="1" width="22.5" style="21" customWidth="1"/>
    <col min="2" max="2" width="21.5" style="21" customWidth="1"/>
    <col min="3" max="3" width="27.5" style="21" customWidth="1"/>
    <col min="4" max="4" width="26.5" style="21" customWidth="1"/>
    <col min="5" max="5" width="25" style="21" customWidth="1"/>
    <col min="6" max="6" width="21" style="21" customWidth="1"/>
    <col min="7" max="7" width="25" style="21" customWidth="1"/>
    <col min="8" max="8" width="7" style="21" customWidth="1"/>
    <col min="9" max="11" width="18.6640625" style="107" customWidth="1"/>
    <col min="12" max="13" width="24" style="21" customWidth="1"/>
    <col min="14" max="16384" width="11" style="21"/>
  </cols>
  <sheetData>
    <row r="1" spans="1:14" s="10" customFormat="1" ht="15.5" x14ac:dyDescent="0.4">
      <c r="A1" s="9"/>
      <c r="B1" s="119" t="s">
        <v>19</v>
      </c>
      <c r="C1" s="119"/>
      <c r="D1" s="119"/>
      <c r="E1" s="119"/>
      <c r="F1" s="9"/>
      <c r="G1" s="9"/>
      <c r="H1" s="9"/>
      <c r="I1" s="102"/>
      <c r="J1" s="102"/>
      <c r="K1" s="102"/>
      <c r="L1" s="9"/>
      <c r="M1" s="9"/>
      <c r="N1" s="9"/>
    </row>
    <row r="2" spans="1:14" s="10" customFormat="1" ht="15.5" x14ac:dyDescent="0.4">
      <c r="A2" s="9"/>
      <c r="B2" s="119" t="s">
        <v>20</v>
      </c>
      <c r="C2" s="119"/>
      <c r="D2" s="119"/>
      <c r="E2" s="119"/>
      <c r="F2" s="9"/>
      <c r="G2" s="9"/>
      <c r="H2" s="9"/>
      <c r="I2" s="102"/>
      <c r="J2" s="102"/>
      <c r="K2" s="102"/>
      <c r="L2" s="9"/>
      <c r="M2" s="9"/>
      <c r="N2" s="9"/>
    </row>
    <row r="3" spans="1:14" s="10" customFormat="1" ht="15.5" x14ac:dyDescent="0.4">
      <c r="A3" s="9"/>
      <c r="B3" s="120" t="s">
        <v>21</v>
      </c>
      <c r="C3" s="121"/>
      <c r="D3" s="121"/>
      <c r="E3" s="121"/>
      <c r="F3" s="9"/>
      <c r="G3" s="9"/>
      <c r="H3" s="9"/>
      <c r="I3" s="102"/>
      <c r="J3" s="102"/>
      <c r="K3" s="102"/>
      <c r="L3" s="9"/>
      <c r="M3" s="9"/>
      <c r="N3" s="9"/>
    </row>
    <row r="4" spans="1:14" s="10" customFormat="1" ht="15.5" x14ac:dyDescent="0.4">
      <c r="A4" s="13"/>
      <c r="B4" s="13"/>
      <c r="C4" s="14"/>
      <c r="D4" s="13"/>
      <c r="E4" s="17"/>
      <c r="F4" s="13"/>
      <c r="G4" s="13"/>
      <c r="H4" s="13"/>
      <c r="I4" s="103"/>
      <c r="J4" s="103"/>
      <c r="K4" s="103"/>
      <c r="L4" s="13"/>
      <c r="M4" s="13"/>
      <c r="N4" s="13"/>
    </row>
    <row r="5" spans="1:14" s="13" customFormat="1" ht="15.5" x14ac:dyDescent="0.4">
      <c r="I5" s="103"/>
      <c r="J5" s="103"/>
      <c r="K5" s="103"/>
      <c r="N5" s="17"/>
    </row>
    <row r="6" spans="1:14" s="15" customFormat="1" ht="18" x14ac:dyDescent="0.4">
      <c r="A6" s="13"/>
      <c r="B6" s="92" t="s">
        <v>60</v>
      </c>
      <c r="C6" s="98"/>
      <c r="D6" s="98"/>
      <c r="E6" s="98"/>
      <c r="F6" s="98"/>
      <c r="G6" s="13"/>
      <c r="I6" s="103"/>
      <c r="J6" s="104"/>
      <c r="K6" s="104"/>
    </row>
    <row r="7" spans="1:14" s="15" customFormat="1" ht="15.5" x14ac:dyDescent="0.4">
      <c r="A7" s="13"/>
      <c r="C7" s="25"/>
      <c r="D7" s="25"/>
      <c r="E7" s="25"/>
      <c r="F7" s="26"/>
      <c r="G7" s="13"/>
      <c r="I7" s="103"/>
      <c r="J7" s="104"/>
      <c r="K7" s="104"/>
    </row>
    <row r="8" spans="1:14" s="22" customFormat="1" ht="34.5" customHeight="1" x14ac:dyDescent="0.35">
      <c r="A8" s="14"/>
      <c r="B8" s="129" t="s">
        <v>61</v>
      </c>
      <c r="C8" s="129"/>
      <c r="D8" s="129"/>
      <c r="E8" s="129"/>
      <c r="F8" s="129"/>
      <c r="I8" s="105"/>
      <c r="J8" s="105"/>
      <c r="K8" s="105"/>
    </row>
    <row r="9" spans="1:14" s="22" customFormat="1" ht="23.25" customHeight="1" x14ac:dyDescent="0.35">
      <c r="A9" s="14"/>
      <c r="B9" s="125" t="s">
        <v>115</v>
      </c>
      <c r="C9" s="125"/>
      <c r="D9" s="125"/>
      <c r="E9" s="125"/>
      <c r="F9" s="125"/>
      <c r="I9" s="105"/>
      <c r="J9" s="105"/>
      <c r="K9" s="105"/>
    </row>
    <row r="10" spans="1:14" x14ac:dyDescent="0.35">
      <c r="I10" s="106"/>
    </row>
    <row r="11" spans="1:14" ht="43.5" customHeight="1" x14ac:dyDescent="0.35">
      <c r="B11" s="124" t="s">
        <v>62</v>
      </c>
      <c r="C11" s="124"/>
      <c r="D11" s="124"/>
      <c r="E11" s="124"/>
      <c r="F11" s="124"/>
      <c r="I11" s="106"/>
    </row>
    <row r="13" spans="1:14" x14ac:dyDescent="0.35">
      <c r="B13" s="124" t="s">
        <v>63</v>
      </c>
      <c r="C13" s="124"/>
      <c r="D13" s="124"/>
      <c r="E13" s="124"/>
      <c r="F13" s="124"/>
    </row>
    <row r="14" spans="1:14" x14ac:dyDescent="0.35">
      <c r="B14" s="31"/>
      <c r="C14" s="31"/>
      <c r="D14" s="31"/>
      <c r="E14" s="31"/>
      <c r="F14" s="31"/>
    </row>
    <row r="15" spans="1:14" ht="24.75" customHeight="1" x14ac:dyDescent="0.35">
      <c r="C15" s="84"/>
      <c r="D15" s="47" t="s">
        <v>64</v>
      </c>
      <c r="E15" s="99" t="str">
        <f>A28</f>
        <v>[strata 1 e.g. state 1]</v>
      </c>
      <c r="F15" s="126" t="s">
        <v>65</v>
      </c>
      <c r="G15" s="127"/>
      <c r="I15" s="125" t="s">
        <v>115</v>
      </c>
      <c r="J15" s="125"/>
      <c r="K15" s="125"/>
    </row>
    <row r="16" spans="1:14" ht="51" customHeight="1" x14ac:dyDescent="0.35">
      <c r="C16" s="48" t="s">
        <v>66</v>
      </c>
      <c r="D16" s="28" t="s">
        <v>67</v>
      </c>
      <c r="E16" s="64">
        <f>MAX(D:D)</f>
        <v>1759341</v>
      </c>
      <c r="I16" s="128" t="s">
        <v>68</v>
      </c>
      <c r="J16" s="128"/>
      <c r="K16" s="128"/>
    </row>
    <row r="17" spans="1:13" ht="51" customHeight="1" x14ac:dyDescent="0.35">
      <c r="C17" s="48" t="s">
        <v>69</v>
      </c>
      <c r="D17" s="28" t="s">
        <v>70</v>
      </c>
      <c r="E17" s="64">
        <f>VLOOKUP(E15, '2. CALC'!C14:D24, 2, FALSE)</f>
        <v>7</v>
      </c>
      <c r="I17" s="101" t="s">
        <v>71</v>
      </c>
      <c r="J17" s="101" t="s">
        <v>72</v>
      </c>
      <c r="K17" s="101" t="s">
        <v>73</v>
      </c>
      <c r="L17" s="74"/>
      <c r="M17" s="74"/>
    </row>
    <row r="18" spans="1:13" ht="51" customHeight="1" x14ac:dyDescent="0.35">
      <c r="C18" s="49" t="s">
        <v>74</v>
      </c>
      <c r="D18" s="28" t="s">
        <v>75</v>
      </c>
      <c r="E18" s="64">
        <f>ROUND(E16/E17,0)</f>
        <v>251334</v>
      </c>
      <c r="I18" s="85" t="s">
        <v>76</v>
      </c>
      <c r="J18" s="64">
        <v>0</v>
      </c>
      <c r="K18" s="86" t="s">
        <v>76</v>
      </c>
    </row>
    <row r="19" spans="1:13" ht="87" customHeight="1" x14ac:dyDescent="0.35">
      <c r="C19" s="48" t="s">
        <v>77</v>
      </c>
      <c r="D19" s="62" t="s">
        <v>78</v>
      </c>
      <c r="E19" s="65">
        <f ca="1">RANDBETWEEN(1,E18)</f>
        <v>189177</v>
      </c>
      <c r="I19" s="66">
        <v>1</v>
      </c>
      <c r="J19" s="64">
        <f t="shared" ref="J19:J46" si="0">IF(I19&gt;0, $E$20+J18, ".")</f>
        <v>999</v>
      </c>
      <c r="K19" s="64" t="str">
        <f t="shared" ref="K19:K46" si="1">IF(INDEX(B$28:B$1007, MATCH(J19, D$28:D$1007, 1))=0, ".", INDEX(B$28:B$1007, MATCH(J19, D$28:D$1007, 1)))</f>
        <v>Cluster 1</v>
      </c>
    </row>
    <row r="20" spans="1:13" ht="58" x14ac:dyDescent="0.35">
      <c r="B20" s="30"/>
      <c r="D20" s="63" t="s">
        <v>79</v>
      </c>
      <c r="E20" s="100">
        <v>999</v>
      </c>
      <c r="F20" s="27"/>
      <c r="I20" s="66">
        <v>2</v>
      </c>
      <c r="J20" s="64">
        <f t="shared" si="0"/>
        <v>1998</v>
      </c>
      <c r="K20" s="64" t="str">
        <f t="shared" si="1"/>
        <v>Cluster 1</v>
      </c>
    </row>
    <row r="21" spans="1:13" x14ac:dyDescent="0.35">
      <c r="B21" s="30"/>
      <c r="F21" s="27"/>
      <c r="I21" s="66">
        <v>3</v>
      </c>
      <c r="J21" s="64">
        <f t="shared" si="0"/>
        <v>2997</v>
      </c>
      <c r="K21" s="64" t="str">
        <f t="shared" si="1"/>
        <v>Cluster 1</v>
      </c>
    </row>
    <row r="22" spans="1:13" x14ac:dyDescent="0.35">
      <c r="B22" s="124"/>
      <c r="C22" s="124"/>
      <c r="D22" s="124"/>
      <c r="E22" s="124"/>
      <c r="F22" s="124"/>
      <c r="I22" s="66">
        <v>4</v>
      </c>
      <c r="J22" s="64">
        <f t="shared" si="0"/>
        <v>3996</v>
      </c>
      <c r="K22" s="64" t="str">
        <f t="shared" si="1"/>
        <v>Cluster 1</v>
      </c>
    </row>
    <row r="23" spans="1:13" x14ac:dyDescent="0.35">
      <c r="B23" s="124" t="s">
        <v>80</v>
      </c>
      <c r="C23" s="124"/>
      <c r="D23" s="124"/>
      <c r="E23" s="124"/>
      <c r="F23" s="124"/>
      <c r="I23" s="66">
        <v>5</v>
      </c>
      <c r="J23" s="64">
        <f t="shared" si="0"/>
        <v>4995</v>
      </c>
      <c r="K23" s="64" t="str">
        <f t="shared" si="1"/>
        <v>Cluster 1</v>
      </c>
    </row>
    <row r="24" spans="1:13" x14ac:dyDescent="0.35">
      <c r="B24" s="31"/>
      <c r="C24" s="31"/>
      <c r="D24" s="31"/>
      <c r="E24" s="31"/>
      <c r="F24" s="31"/>
      <c r="I24" s="66">
        <v>6</v>
      </c>
      <c r="J24" s="64">
        <f t="shared" si="0"/>
        <v>5994</v>
      </c>
      <c r="K24" s="64" t="str">
        <f t="shared" si="1"/>
        <v>Cluster 1</v>
      </c>
    </row>
    <row r="25" spans="1:13" ht="26.25" customHeight="1" x14ac:dyDescent="0.35">
      <c r="A25" s="72" t="s">
        <v>81</v>
      </c>
      <c r="B25" s="69"/>
      <c r="C25" s="69"/>
      <c r="D25" s="69"/>
      <c r="E25" s="69"/>
      <c r="G25" s="67"/>
      <c r="I25" s="66">
        <v>7</v>
      </c>
      <c r="J25" s="64">
        <f t="shared" si="0"/>
        <v>6993</v>
      </c>
      <c r="K25" s="64" t="str">
        <f t="shared" si="1"/>
        <v>Cluster 1</v>
      </c>
    </row>
    <row r="26" spans="1:13" x14ac:dyDescent="0.35">
      <c r="A26" s="70" t="s">
        <v>82</v>
      </c>
      <c r="B26" s="70" t="s">
        <v>83</v>
      </c>
      <c r="C26" s="70" t="s">
        <v>84</v>
      </c>
      <c r="D26" s="70" t="s">
        <v>85</v>
      </c>
      <c r="E26" s="70" t="s">
        <v>86</v>
      </c>
      <c r="I26" s="66"/>
      <c r="J26" s="64" t="str">
        <f t="shared" si="0"/>
        <v>.</v>
      </c>
      <c r="K26" s="64" t="str">
        <f t="shared" si="1"/>
        <v>.</v>
      </c>
    </row>
    <row r="27" spans="1:13" s="74" customFormat="1" ht="62.25" customHeight="1" x14ac:dyDescent="0.35">
      <c r="A27" s="73" t="s">
        <v>87</v>
      </c>
      <c r="B27" s="73" t="s">
        <v>88</v>
      </c>
      <c r="C27" s="73" t="s">
        <v>89</v>
      </c>
      <c r="D27" s="73" t="s">
        <v>90</v>
      </c>
      <c r="E27" s="75" t="s">
        <v>91</v>
      </c>
      <c r="I27" s="66"/>
      <c r="J27" s="64" t="str">
        <f t="shared" si="0"/>
        <v>.</v>
      </c>
      <c r="K27" s="64" t="str">
        <f t="shared" si="1"/>
        <v>.</v>
      </c>
      <c r="L27" s="21"/>
      <c r="M27" s="21"/>
    </row>
    <row r="28" spans="1:13" ht="15.5" x14ac:dyDescent="0.35">
      <c r="A28" s="88" t="s">
        <v>34</v>
      </c>
      <c r="B28" s="71" t="s">
        <v>92</v>
      </c>
      <c r="C28" s="71">
        <v>78</v>
      </c>
      <c r="D28" s="53">
        <f>IF(C28="", "-", C28)</f>
        <v>78</v>
      </c>
      <c r="E28" s="53" t="str">
        <f>IF(IFERROR(VLOOKUP(B28, K$18:K$1006, 1, FALSE), "no")="no", "no", "yes")</f>
        <v>yes</v>
      </c>
      <c r="I28" s="66"/>
      <c r="J28" s="64" t="str">
        <f t="shared" si="0"/>
        <v>.</v>
      </c>
      <c r="K28" s="64" t="str">
        <f t="shared" si="1"/>
        <v>.</v>
      </c>
    </row>
    <row r="29" spans="1:13" ht="15.5" x14ac:dyDescent="0.35">
      <c r="A29" s="88" t="s">
        <v>34</v>
      </c>
      <c r="B29" s="71" t="s">
        <v>93</v>
      </c>
      <c r="C29" s="71">
        <v>26231</v>
      </c>
      <c r="D29" s="53">
        <f>IF(C29="","-",D28+C29)</f>
        <v>26309</v>
      </c>
      <c r="E29" s="53" t="str">
        <f t="shared" ref="E29:E92" si="2">IF(IFERROR(VLOOKUP(B29, K$18:K$1006, 1, FALSE), "no")="no", "no", "yes")</f>
        <v>no</v>
      </c>
      <c r="I29" s="66"/>
      <c r="J29" s="64" t="str">
        <f t="shared" si="0"/>
        <v>.</v>
      </c>
      <c r="K29" s="64" t="str">
        <f t="shared" si="1"/>
        <v>.</v>
      </c>
    </row>
    <row r="30" spans="1:13" ht="15.5" x14ac:dyDescent="0.35">
      <c r="A30" s="88" t="s">
        <v>34</v>
      </c>
      <c r="B30" s="71" t="s">
        <v>94</v>
      </c>
      <c r="C30" s="71">
        <v>50318</v>
      </c>
      <c r="D30" s="53">
        <f t="shared" ref="D30:D93" si="3">IF(C30="","-",D29+C30)</f>
        <v>76627</v>
      </c>
      <c r="E30" s="53" t="str">
        <f t="shared" si="2"/>
        <v>no</v>
      </c>
      <c r="F30" s="68"/>
      <c r="I30" s="66"/>
      <c r="J30" s="64" t="str">
        <f t="shared" si="0"/>
        <v>.</v>
      </c>
      <c r="K30" s="64" t="str">
        <f t="shared" si="1"/>
        <v>.</v>
      </c>
    </row>
    <row r="31" spans="1:13" ht="15.5" x14ac:dyDescent="0.35">
      <c r="A31" s="88" t="s">
        <v>34</v>
      </c>
      <c r="B31" s="71" t="s">
        <v>95</v>
      </c>
      <c r="C31" s="71">
        <v>18118</v>
      </c>
      <c r="D31" s="53">
        <f t="shared" si="3"/>
        <v>94745</v>
      </c>
      <c r="E31" s="53" t="str">
        <f t="shared" si="2"/>
        <v>no</v>
      </c>
      <c r="I31" s="66"/>
      <c r="J31" s="64" t="str">
        <f t="shared" si="0"/>
        <v>.</v>
      </c>
      <c r="K31" s="64" t="str">
        <f t="shared" si="1"/>
        <v>.</v>
      </c>
    </row>
    <row r="32" spans="1:13" ht="15.5" x14ac:dyDescent="0.35">
      <c r="A32" s="88" t="s">
        <v>34</v>
      </c>
      <c r="B32" s="71" t="s">
        <v>96</v>
      </c>
      <c r="C32" s="71">
        <v>86148</v>
      </c>
      <c r="D32" s="53">
        <f t="shared" si="3"/>
        <v>180893</v>
      </c>
      <c r="E32" s="53" t="str">
        <f t="shared" si="2"/>
        <v>no</v>
      </c>
      <c r="I32" s="66"/>
      <c r="J32" s="64" t="str">
        <f t="shared" si="0"/>
        <v>.</v>
      </c>
      <c r="K32" s="64" t="str">
        <f t="shared" si="1"/>
        <v>.</v>
      </c>
    </row>
    <row r="33" spans="1:11" ht="15.5" x14ac:dyDescent="0.35">
      <c r="A33" s="88" t="s">
        <v>34</v>
      </c>
      <c r="B33" s="71" t="s">
        <v>97</v>
      </c>
      <c r="C33" s="71">
        <v>76024</v>
      </c>
      <c r="D33" s="53">
        <f t="shared" si="3"/>
        <v>256917</v>
      </c>
      <c r="E33" s="53" t="str">
        <f t="shared" si="2"/>
        <v>no</v>
      </c>
      <c r="I33" s="66"/>
      <c r="J33" s="64" t="str">
        <f t="shared" si="0"/>
        <v>.</v>
      </c>
      <c r="K33" s="64" t="str">
        <f t="shared" si="1"/>
        <v>.</v>
      </c>
    </row>
    <row r="34" spans="1:11" ht="15.5" x14ac:dyDescent="0.35">
      <c r="A34" s="88" t="s">
        <v>34</v>
      </c>
      <c r="B34" s="71" t="s">
        <v>98</v>
      </c>
      <c r="C34" s="71">
        <v>498</v>
      </c>
      <c r="D34" s="53">
        <f t="shared" si="3"/>
        <v>257415</v>
      </c>
      <c r="E34" s="53" t="str">
        <f t="shared" si="2"/>
        <v>no</v>
      </c>
      <c r="I34" s="66"/>
      <c r="J34" s="64" t="str">
        <f t="shared" si="0"/>
        <v>.</v>
      </c>
      <c r="K34" s="64" t="str">
        <f t="shared" si="1"/>
        <v>.</v>
      </c>
    </row>
    <row r="35" spans="1:11" ht="15.5" x14ac:dyDescent="0.35">
      <c r="A35" s="88" t="s">
        <v>34</v>
      </c>
      <c r="B35" s="71" t="s">
        <v>99</v>
      </c>
      <c r="C35" s="71">
        <v>19696</v>
      </c>
      <c r="D35" s="53">
        <f t="shared" si="3"/>
        <v>277111</v>
      </c>
      <c r="E35" s="53" t="str">
        <f t="shared" si="2"/>
        <v>no</v>
      </c>
      <c r="I35" s="66"/>
      <c r="J35" s="64" t="str">
        <f t="shared" si="0"/>
        <v>.</v>
      </c>
      <c r="K35" s="64" t="str">
        <f t="shared" si="1"/>
        <v>.</v>
      </c>
    </row>
    <row r="36" spans="1:11" ht="15.5" x14ac:dyDescent="0.35">
      <c r="A36" s="88" t="s">
        <v>34</v>
      </c>
      <c r="B36" s="71" t="s">
        <v>100</v>
      </c>
      <c r="C36" s="71">
        <v>45497</v>
      </c>
      <c r="D36" s="53">
        <f t="shared" si="3"/>
        <v>322608</v>
      </c>
      <c r="E36" s="53" t="str">
        <f t="shared" si="2"/>
        <v>no</v>
      </c>
      <c r="I36" s="66"/>
      <c r="J36" s="64" t="str">
        <f t="shared" si="0"/>
        <v>.</v>
      </c>
      <c r="K36" s="64" t="str">
        <f t="shared" si="1"/>
        <v>.</v>
      </c>
    </row>
    <row r="37" spans="1:11" ht="15.5" x14ac:dyDescent="0.35">
      <c r="A37" s="88" t="s">
        <v>34</v>
      </c>
      <c r="B37" s="71" t="s">
        <v>101</v>
      </c>
      <c r="C37" s="71">
        <v>2935</v>
      </c>
      <c r="D37" s="53">
        <f t="shared" si="3"/>
        <v>325543</v>
      </c>
      <c r="E37" s="53" t="str">
        <f t="shared" si="2"/>
        <v>no</v>
      </c>
      <c r="I37" s="66"/>
      <c r="J37" s="64" t="str">
        <f t="shared" si="0"/>
        <v>.</v>
      </c>
      <c r="K37" s="64" t="str">
        <f t="shared" si="1"/>
        <v>.</v>
      </c>
    </row>
    <row r="38" spans="1:11" ht="15.5" x14ac:dyDescent="0.35">
      <c r="A38" s="88" t="s">
        <v>34</v>
      </c>
      <c r="B38" s="71" t="s">
        <v>102</v>
      </c>
      <c r="C38" s="71">
        <v>88397</v>
      </c>
      <c r="D38" s="53">
        <f t="shared" si="3"/>
        <v>413940</v>
      </c>
      <c r="E38" s="53" t="str">
        <f t="shared" si="2"/>
        <v>no</v>
      </c>
      <c r="I38" s="66"/>
      <c r="J38" s="64" t="str">
        <f t="shared" si="0"/>
        <v>.</v>
      </c>
      <c r="K38" s="64" t="str">
        <f t="shared" si="1"/>
        <v>.</v>
      </c>
    </row>
    <row r="39" spans="1:11" ht="15.5" x14ac:dyDescent="0.35">
      <c r="A39" s="88" t="s">
        <v>34</v>
      </c>
      <c r="B39" s="71" t="s">
        <v>103</v>
      </c>
      <c r="C39" s="71">
        <v>74350</v>
      </c>
      <c r="D39" s="53">
        <f t="shared" si="3"/>
        <v>488290</v>
      </c>
      <c r="E39" s="53" t="str">
        <f t="shared" si="2"/>
        <v>no</v>
      </c>
      <c r="I39" s="66"/>
      <c r="J39" s="64" t="str">
        <f t="shared" si="0"/>
        <v>.</v>
      </c>
      <c r="K39" s="64" t="str">
        <f t="shared" si="1"/>
        <v>.</v>
      </c>
    </row>
    <row r="40" spans="1:11" ht="15.5" x14ac:dyDescent="0.35">
      <c r="A40" s="88" t="s">
        <v>34</v>
      </c>
      <c r="B40" s="71" t="s">
        <v>104</v>
      </c>
      <c r="C40" s="71">
        <v>38062</v>
      </c>
      <c r="D40" s="53">
        <f t="shared" si="3"/>
        <v>526352</v>
      </c>
      <c r="E40" s="53" t="str">
        <f t="shared" si="2"/>
        <v>no</v>
      </c>
      <c r="I40" s="66"/>
      <c r="J40" s="64" t="str">
        <f t="shared" si="0"/>
        <v>.</v>
      </c>
      <c r="K40" s="64" t="str">
        <f t="shared" si="1"/>
        <v>.</v>
      </c>
    </row>
    <row r="41" spans="1:11" ht="15.5" x14ac:dyDescent="0.35">
      <c r="A41" s="88" t="s">
        <v>34</v>
      </c>
      <c r="B41" s="71" t="s">
        <v>105</v>
      </c>
      <c r="C41" s="71">
        <v>2063</v>
      </c>
      <c r="D41" s="53">
        <f t="shared" si="3"/>
        <v>528415</v>
      </c>
      <c r="E41" s="53" t="str">
        <f t="shared" si="2"/>
        <v>no</v>
      </c>
      <c r="I41" s="66"/>
      <c r="J41" s="64" t="str">
        <f t="shared" si="0"/>
        <v>.</v>
      </c>
      <c r="K41" s="64" t="str">
        <f t="shared" si="1"/>
        <v>.</v>
      </c>
    </row>
    <row r="42" spans="1:11" ht="15.5" x14ac:dyDescent="0.35">
      <c r="A42" s="88" t="s">
        <v>34</v>
      </c>
      <c r="B42" s="71" t="s">
        <v>106</v>
      </c>
      <c r="C42" s="71">
        <v>12834</v>
      </c>
      <c r="D42" s="53">
        <f t="shared" si="3"/>
        <v>541249</v>
      </c>
      <c r="E42" s="53" t="str">
        <f t="shared" si="2"/>
        <v>no</v>
      </c>
      <c r="I42" s="66"/>
      <c r="J42" s="64" t="str">
        <f t="shared" si="0"/>
        <v>.</v>
      </c>
      <c r="K42" s="64" t="str">
        <f t="shared" si="1"/>
        <v>.</v>
      </c>
    </row>
    <row r="43" spans="1:11" ht="15.5" x14ac:dyDescent="0.35">
      <c r="A43" s="88" t="s">
        <v>34</v>
      </c>
      <c r="B43" s="71" t="s">
        <v>107</v>
      </c>
      <c r="C43" s="71">
        <v>86450</v>
      </c>
      <c r="D43" s="53">
        <f t="shared" si="3"/>
        <v>627699</v>
      </c>
      <c r="E43" s="53" t="str">
        <f t="shared" si="2"/>
        <v>no</v>
      </c>
      <c r="I43" s="66"/>
      <c r="J43" s="64" t="str">
        <f t="shared" si="0"/>
        <v>.</v>
      </c>
      <c r="K43" s="64" t="str">
        <f t="shared" si="1"/>
        <v>.</v>
      </c>
    </row>
    <row r="44" spans="1:11" ht="15.5" x14ac:dyDescent="0.35">
      <c r="A44" s="88" t="s">
        <v>34</v>
      </c>
      <c r="B44" s="71" t="s">
        <v>108</v>
      </c>
      <c r="C44" s="71">
        <v>70320</v>
      </c>
      <c r="D44" s="53">
        <f t="shared" si="3"/>
        <v>698019</v>
      </c>
      <c r="E44" s="53" t="str">
        <f t="shared" si="2"/>
        <v>no</v>
      </c>
      <c r="I44" s="66"/>
      <c r="J44" s="64" t="str">
        <f t="shared" si="0"/>
        <v>.</v>
      </c>
      <c r="K44" s="64" t="str">
        <f t="shared" si="1"/>
        <v>.</v>
      </c>
    </row>
    <row r="45" spans="1:11" ht="15.5" x14ac:dyDescent="0.35">
      <c r="A45" s="88" t="s">
        <v>34</v>
      </c>
      <c r="B45" s="71" t="s">
        <v>109</v>
      </c>
      <c r="C45" s="71">
        <v>6335</v>
      </c>
      <c r="D45" s="53">
        <f t="shared" si="3"/>
        <v>704354</v>
      </c>
      <c r="E45" s="53" t="str">
        <f t="shared" si="2"/>
        <v>no</v>
      </c>
      <c r="I45" s="66"/>
      <c r="J45" s="64" t="str">
        <f t="shared" si="0"/>
        <v>.</v>
      </c>
      <c r="K45" s="64" t="str">
        <f t="shared" si="1"/>
        <v>.</v>
      </c>
    </row>
    <row r="46" spans="1:11" ht="15.5" x14ac:dyDescent="0.35">
      <c r="A46" s="88" t="s">
        <v>34</v>
      </c>
      <c r="B46" s="71" t="s">
        <v>110</v>
      </c>
      <c r="C46" s="71">
        <v>63166</v>
      </c>
      <c r="D46" s="53">
        <f t="shared" si="3"/>
        <v>767520</v>
      </c>
      <c r="E46" s="53" t="str">
        <f t="shared" si="2"/>
        <v>no</v>
      </c>
      <c r="I46" s="66"/>
      <c r="J46" s="64" t="str">
        <f t="shared" si="0"/>
        <v>.</v>
      </c>
      <c r="K46" s="64" t="str">
        <f t="shared" si="1"/>
        <v>.</v>
      </c>
    </row>
    <row r="47" spans="1:11" ht="15.5" x14ac:dyDescent="0.35">
      <c r="A47" s="88" t="s">
        <v>34</v>
      </c>
      <c r="B47" s="71" t="s">
        <v>111</v>
      </c>
      <c r="C47" s="71">
        <v>27352</v>
      </c>
      <c r="D47" s="53">
        <f t="shared" si="3"/>
        <v>794872</v>
      </c>
      <c r="E47" s="53" t="str">
        <f t="shared" si="2"/>
        <v>no</v>
      </c>
    </row>
    <row r="48" spans="1:11" ht="15.5" x14ac:dyDescent="0.35">
      <c r="A48" s="88" t="s">
        <v>34</v>
      </c>
      <c r="B48" s="71" t="s">
        <v>112</v>
      </c>
      <c r="C48" s="71">
        <v>17812</v>
      </c>
      <c r="D48" s="53">
        <f t="shared" si="3"/>
        <v>812684</v>
      </c>
      <c r="E48" s="53" t="str">
        <f t="shared" si="2"/>
        <v>no</v>
      </c>
    </row>
    <row r="49" spans="1:5" ht="15.5" x14ac:dyDescent="0.35">
      <c r="A49" s="88" t="s">
        <v>34</v>
      </c>
      <c r="B49" s="71" t="s">
        <v>113</v>
      </c>
      <c r="C49" s="71">
        <v>62026</v>
      </c>
      <c r="D49" s="53">
        <f t="shared" si="3"/>
        <v>874710</v>
      </c>
      <c r="E49" s="53" t="str">
        <f t="shared" si="2"/>
        <v>no</v>
      </c>
    </row>
    <row r="50" spans="1:5" ht="15.5" x14ac:dyDescent="0.35">
      <c r="A50" s="88" t="s">
        <v>34</v>
      </c>
      <c r="B50" s="71" t="s">
        <v>92</v>
      </c>
      <c r="C50" s="71">
        <v>9999</v>
      </c>
      <c r="D50" s="53">
        <f t="shared" si="3"/>
        <v>884709</v>
      </c>
      <c r="E50" s="53" t="str">
        <f t="shared" si="2"/>
        <v>yes</v>
      </c>
    </row>
    <row r="51" spans="1:5" ht="15.5" x14ac:dyDescent="0.35">
      <c r="A51" s="88" t="s">
        <v>34</v>
      </c>
      <c r="B51" s="71" t="s">
        <v>93</v>
      </c>
      <c r="C51" s="71">
        <v>26231</v>
      </c>
      <c r="D51" s="53">
        <f t="shared" si="3"/>
        <v>910940</v>
      </c>
      <c r="E51" s="53" t="str">
        <f t="shared" si="2"/>
        <v>no</v>
      </c>
    </row>
    <row r="52" spans="1:5" ht="15.5" x14ac:dyDescent="0.35">
      <c r="A52" s="88" t="s">
        <v>34</v>
      </c>
      <c r="B52" s="71" t="s">
        <v>94</v>
      </c>
      <c r="C52" s="71">
        <v>50318</v>
      </c>
      <c r="D52" s="53">
        <f t="shared" si="3"/>
        <v>961258</v>
      </c>
      <c r="E52" s="53" t="str">
        <f t="shared" si="2"/>
        <v>no</v>
      </c>
    </row>
    <row r="53" spans="1:5" ht="15.5" x14ac:dyDescent="0.35">
      <c r="A53" s="88" t="s">
        <v>34</v>
      </c>
      <c r="B53" s="71" t="s">
        <v>95</v>
      </c>
      <c r="C53" s="71">
        <v>18118</v>
      </c>
      <c r="D53" s="53">
        <f t="shared" si="3"/>
        <v>979376</v>
      </c>
      <c r="E53" s="53" t="str">
        <f t="shared" si="2"/>
        <v>no</v>
      </c>
    </row>
    <row r="54" spans="1:5" ht="15.5" x14ac:dyDescent="0.35">
      <c r="A54" s="88" t="s">
        <v>34</v>
      </c>
      <c r="B54" s="71" t="s">
        <v>96</v>
      </c>
      <c r="C54" s="71">
        <v>86148</v>
      </c>
      <c r="D54" s="53">
        <f t="shared" si="3"/>
        <v>1065524</v>
      </c>
      <c r="E54" s="53" t="str">
        <f t="shared" si="2"/>
        <v>no</v>
      </c>
    </row>
    <row r="55" spans="1:5" ht="15.5" x14ac:dyDescent="0.35">
      <c r="A55" s="88" t="s">
        <v>34</v>
      </c>
      <c r="B55" s="71" t="s">
        <v>97</v>
      </c>
      <c r="C55" s="71">
        <v>76024</v>
      </c>
      <c r="D55" s="53">
        <f t="shared" si="3"/>
        <v>1141548</v>
      </c>
      <c r="E55" s="53" t="str">
        <f t="shared" si="2"/>
        <v>no</v>
      </c>
    </row>
    <row r="56" spans="1:5" ht="15.5" x14ac:dyDescent="0.35">
      <c r="A56" s="88" t="s">
        <v>34</v>
      </c>
      <c r="B56" s="71" t="s">
        <v>98</v>
      </c>
      <c r="C56" s="71">
        <v>498</v>
      </c>
      <c r="D56" s="53">
        <f t="shared" si="3"/>
        <v>1142046</v>
      </c>
      <c r="E56" s="53" t="str">
        <f t="shared" si="2"/>
        <v>no</v>
      </c>
    </row>
    <row r="57" spans="1:5" ht="15.5" x14ac:dyDescent="0.35">
      <c r="A57" s="88" t="s">
        <v>34</v>
      </c>
      <c r="B57" s="71" t="s">
        <v>99</v>
      </c>
      <c r="C57" s="71">
        <v>19696</v>
      </c>
      <c r="D57" s="53">
        <f t="shared" si="3"/>
        <v>1161742</v>
      </c>
      <c r="E57" s="53" t="str">
        <f t="shared" si="2"/>
        <v>no</v>
      </c>
    </row>
    <row r="58" spans="1:5" ht="15.5" x14ac:dyDescent="0.35">
      <c r="A58" s="88" t="s">
        <v>34</v>
      </c>
      <c r="B58" s="71" t="s">
        <v>100</v>
      </c>
      <c r="C58" s="71">
        <v>45497</v>
      </c>
      <c r="D58" s="53">
        <f t="shared" si="3"/>
        <v>1207239</v>
      </c>
      <c r="E58" s="53" t="str">
        <f t="shared" si="2"/>
        <v>no</v>
      </c>
    </row>
    <row r="59" spans="1:5" ht="15.5" x14ac:dyDescent="0.35">
      <c r="A59" s="88" t="s">
        <v>34</v>
      </c>
      <c r="B59" s="71" t="s">
        <v>101</v>
      </c>
      <c r="C59" s="71">
        <v>2935</v>
      </c>
      <c r="D59" s="53">
        <f t="shared" si="3"/>
        <v>1210174</v>
      </c>
      <c r="E59" s="53" t="str">
        <f t="shared" si="2"/>
        <v>no</v>
      </c>
    </row>
    <row r="60" spans="1:5" ht="15.5" x14ac:dyDescent="0.35">
      <c r="A60" s="88" t="s">
        <v>34</v>
      </c>
      <c r="B60" s="71" t="s">
        <v>102</v>
      </c>
      <c r="C60" s="71">
        <v>88397</v>
      </c>
      <c r="D60" s="53">
        <f t="shared" si="3"/>
        <v>1298571</v>
      </c>
      <c r="E60" s="53" t="str">
        <f t="shared" si="2"/>
        <v>no</v>
      </c>
    </row>
    <row r="61" spans="1:5" ht="15.5" x14ac:dyDescent="0.35">
      <c r="A61" s="88" t="s">
        <v>34</v>
      </c>
      <c r="B61" s="71" t="s">
        <v>103</v>
      </c>
      <c r="C61" s="71">
        <v>74350</v>
      </c>
      <c r="D61" s="53">
        <f t="shared" si="3"/>
        <v>1372921</v>
      </c>
      <c r="E61" s="53" t="str">
        <f t="shared" si="2"/>
        <v>no</v>
      </c>
    </row>
    <row r="62" spans="1:5" ht="15.5" x14ac:dyDescent="0.35">
      <c r="A62" s="88" t="s">
        <v>34</v>
      </c>
      <c r="B62" s="71" t="s">
        <v>104</v>
      </c>
      <c r="C62" s="71">
        <v>38062</v>
      </c>
      <c r="D62" s="53">
        <f t="shared" si="3"/>
        <v>1410983</v>
      </c>
      <c r="E62" s="53" t="str">
        <f t="shared" si="2"/>
        <v>no</v>
      </c>
    </row>
    <row r="63" spans="1:5" ht="15.5" x14ac:dyDescent="0.35">
      <c r="A63" s="88" t="s">
        <v>34</v>
      </c>
      <c r="B63" s="71" t="s">
        <v>105</v>
      </c>
      <c r="C63" s="71">
        <v>2063</v>
      </c>
      <c r="D63" s="53">
        <f t="shared" si="3"/>
        <v>1413046</v>
      </c>
      <c r="E63" s="53" t="str">
        <f t="shared" si="2"/>
        <v>no</v>
      </c>
    </row>
    <row r="64" spans="1:5" ht="15.5" x14ac:dyDescent="0.35">
      <c r="A64" s="88" t="s">
        <v>34</v>
      </c>
      <c r="B64" s="71" t="s">
        <v>106</v>
      </c>
      <c r="C64" s="71">
        <v>12834</v>
      </c>
      <c r="D64" s="53">
        <f t="shared" si="3"/>
        <v>1425880</v>
      </c>
      <c r="E64" s="53" t="str">
        <f t="shared" si="2"/>
        <v>no</v>
      </c>
    </row>
    <row r="65" spans="1:5" ht="15.5" x14ac:dyDescent="0.35">
      <c r="A65" s="88" t="s">
        <v>34</v>
      </c>
      <c r="B65" s="71" t="s">
        <v>107</v>
      </c>
      <c r="C65" s="71">
        <v>86450</v>
      </c>
      <c r="D65" s="53">
        <f t="shared" si="3"/>
        <v>1512330</v>
      </c>
      <c r="E65" s="53" t="str">
        <f t="shared" si="2"/>
        <v>no</v>
      </c>
    </row>
    <row r="66" spans="1:5" ht="15.5" x14ac:dyDescent="0.35">
      <c r="A66" s="88" t="s">
        <v>34</v>
      </c>
      <c r="B66" s="71" t="s">
        <v>108</v>
      </c>
      <c r="C66" s="71">
        <v>70320</v>
      </c>
      <c r="D66" s="53">
        <f t="shared" si="3"/>
        <v>1582650</v>
      </c>
      <c r="E66" s="53" t="str">
        <f t="shared" si="2"/>
        <v>no</v>
      </c>
    </row>
    <row r="67" spans="1:5" ht="15.5" x14ac:dyDescent="0.35">
      <c r="A67" s="88" t="s">
        <v>34</v>
      </c>
      <c r="B67" s="71" t="s">
        <v>109</v>
      </c>
      <c r="C67" s="71">
        <v>6335</v>
      </c>
      <c r="D67" s="53">
        <f t="shared" si="3"/>
        <v>1588985</v>
      </c>
      <c r="E67" s="53" t="str">
        <f t="shared" si="2"/>
        <v>no</v>
      </c>
    </row>
    <row r="68" spans="1:5" ht="15.5" x14ac:dyDescent="0.35">
      <c r="A68" s="88" t="s">
        <v>34</v>
      </c>
      <c r="B68" s="71" t="s">
        <v>110</v>
      </c>
      <c r="C68" s="71">
        <v>63166</v>
      </c>
      <c r="D68" s="53">
        <f t="shared" si="3"/>
        <v>1652151</v>
      </c>
      <c r="E68" s="53" t="str">
        <f t="shared" si="2"/>
        <v>no</v>
      </c>
    </row>
    <row r="69" spans="1:5" ht="15.5" x14ac:dyDescent="0.35">
      <c r="A69" s="88" t="s">
        <v>34</v>
      </c>
      <c r="B69" s="71" t="s">
        <v>111</v>
      </c>
      <c r="C69" s="71">
        <v>27352</v>
      </c>
      <c r="D69" s="53">
        <f t="shared" si="3"/>
        <v>1679503</v>
      </c>
      <c r="E69" s="53" t="str">
        <f t="shared" si="2"/>
        <v>no</v>
      </c>
    </row>
    <row r="70" spans="1:5" ht="15.5" x14ac:dyDescent="0.35">
      <c r="A70" s="88" t="s">
        <v>34</v>
      </c>
      <c r="B70" s="71" t="s">
        <v>112</v>
      </c>
      <c r="C70" s="71">
        <v>17812</v>
      </c>
      <c r="D70" s="53">
        <f t="shared" si="3"/>
        <v>1697315</v>
      </c>
      <c r="E70" s="53" t="str">
        <f t="shared" si="2"/>
        <v>no</v>
      </c>
    </row>
    <row r="71" spans="1:5" ht="15.5" x14ac:dyDescent="0.35">
      <c r="A71" s="88" t="s">
        <v>34</v>
      </c>
      <c r="B71" s="71" t="s">
        <v>113</v>
      </c>
      <c r="C71" s="71">
        <v>62026</v>
      </c>
      <c r="D71" s="53">
        <f t="shared" si="3"/>
        <v>1759341</v>
      </c>
      <c r="E71" s="53" t="str">
        <f t="shared" si="2"/>
        <v>no</v>
      </c>
    </row>
    <row r="72" spans="1:5" x14ac:dyDescent="0.35">
      <c r="A72" s="71"/>
      <c r="B72" s="71"/>
      <c r="C72" s="71"/>
      <c r="D72" s="53" t="str">
        <f t="shared" si="3"/>
        <v>-</v>
      </c>
      <c r="E72" s="53" t="str">
        <f t="shared" si="2"/>
        <v>no</v>
      </c>
    </row>
    <row r="73" spans="1:5" x14ac:dyDescent="0.35">
      <c r="A73" s="71"/>
      <c r="B73" s="71"/>
      <c r="C73" s="71"/>
      <c r="D73" s="53" t="str">
        <f t="shared" si="3"/>
        <v>-</v>
      </c>
      <c r="E73" s="53" t="str">
        <f t="shared" si="2"/>
        <v>no</v>
      </c>
    </row>
    <row r="74" spans="1:5" x14ac:dyDescent="0.35">
      <c r="A74" s="71"/>
      <c r="B74" s="71"/>
      <c r="C74" s="71"/>
      <c r="D74" s="53" t="str">
        <f t="shared" si="3"/>
        <v>-</v>
      </c>
      <c r="E74" s="53" t="str">
        <f t="shared" si="2"/>
        <v>no</v>
      </c>
    </row>
    <row r="75" spans="1:5" x14ac:dyDescent="0.35">
      <c r="A75" s="71"/>
      <c r="B75" s="71"/>
      <c r="C75" s="71"/>
      <c r="D75" s="53" t="str">
        <f t="shared" si="3"/>
        <v>-</v>
      </c>
      <c r="E75" s="53" t="str">
        <f t="shared" si="2"/>
        <v>no</v>
      </c>
    </row>
    <row r="76" spans="1:5" x14ac:dyDescent="0.35">
      <c r="A76" s="71"/>
      <c r="B76" s="71"/>
      <c r="C76" s="71"/>
      <c r="D76" s="53" t="str">
        <f t="shared" si="3"/>
        <v>-</v>
      </c>
      <c r="E76" s="53" t="str">
        <f t="shared" si="2"/>
        <v>no</v>
      </c>
    </row>
    <row r="77" spans="1:5" x14ac:dyDescent="0.35">
      <c r="A77" s="71"/>
      <c r="B77" s="71"/>
      <c r="C77" s="71"/>
      <c r="D77" s="53" t="str">
        <f t="shared" si="3"/>
        <v>-</v>
      </c>
      <c r="E77" s="53" t="str">
        <f t="shared" si="2"/>
        <v>no</v>
      </c>
    </row>
    <row r="78" spans="1:5" x14ac:dyDescent="0.35">
      <c r="A78" s="71"/>
      <c r="B78" s="71"/>
      <c r="C78" s="71"/>
      <c r="D78" s="53" t="str">
        <f t="shared" si="3"/>
        <v>-</v>
      </c>
      <c r="E78" s="53" t="str">
        <f t="shared" si="2"/>
        <v>no</v>
      </c>
    </row>
    <row r="79" spans="1:5" x14ac:dyDescent="0.35">
      <c r="A79" s="71"/>
      <c r="B79" s="71"/>
      <c r="C79" s="71"/>
      <c r="D79" s="53" t="str">
        <f t="shared" si="3"/>
        <v>-</v>
      </c>
      <c r="E79" s="53" t="str">
        <f t="shared" si="2"/>
        <v>no</v>
      </c>
    </row>
    <row r="80" spans="1:5" x14ac:dyDescent="0.35">
      <c r="A80" s="71"/>
      <c r="B80" s="71"/>
      <c r="C80" s="71"/>
      <c r="D80" s="53" t="str">
        <f t="shared" si="3"/>
        <v>-</v>
      </c>
      <c r="E80" s="53" t="str">
        <f t="shared" si="2"/>
        <v>no</v>
      </c>
    </row>
    <row r="81" spans="1:5" x14ac:dyDescent="0.35">
      <c r="A81" s="71"/>
      <c r="B81" s="71"/>
      <c r="C81" s="71"/>
      <c r="D81" s="53" t="str">
        <f t="shared" si="3"/>
        <v>-</v>
      </c>
      <c r="E81" s="53" t="str">
        <f t="shared" si="2"/>
        <v>no</v>
      </c>
    </row>
    <row r="82" spans="1:5" x14ac:dyDescent="0.35">
      <c r="A82" s="71"/>
      <c r="B82" s="71"/>
      <c r="C82" s="71"/>
      <c r="D82" s="53" t="str">
        <f t="shared" si="3"/>
        <v>-</v>
      </c>
      <c r="E82" s="53" t="str">
        <f t="shared" si="2"/>
        <v>no</v>
      </c>
    </row>
    <row r="83" spans="1:5" x14ac:dyDescent="0.35">
      <c r="A83" s="71"/>
      <c r="B83" s="71"/>
      <c r="C83" s="71"/>
      <c r="D83" s="53" t="str">
        <f t="shared" si="3"/>
        <v>-</v>
      </c>
      <c r="E83" s="53" t="str">
        <f t="shared" si="2"/>
        <v>no</v>
      </c>
    </row>
    <row r="84" spans="1:5" x14ac:dyDescent="0.35">
      <c r="A84" s="71"/>
      <c r="B84" s="71"/>
      <c r="C84" s="71"/>
      <c r="D84" s="53" t="str">
        <f t="shared" si="3"/>
        <v>-</v>
      </c>
      <c r="E84" s="53" t="str">
        <f t="shared" si="2"/>
        <v>no</v>
      </c>
    </row>
    <row r="85" spans="1:5" x14ac:dyDescent="0.35">
      <c r="A85" s="71"/>
      <c r="B85" s="71"/>
      <c r="C85" s="71"/>
      <c r="D85" s="53" t="str">
        <f t="shared" si="3"/>
        <v>-</v>
      </c>
      <c r="E85" s="53" t="str">
        <f t="shared" si="2"/>
        <v>no</v>
      </c>
    </row>
    <row r="86" spans="1:5" x14ac:dyDescent="0.35">
      <c r="A86" s="71"/>
      <c r="B86" s="71"/>
      <c r="C86" s="71"/>
      <c r="D86" s="53" t="str">
        <f t="shared" si="3"/>
        <v>-</v>
      </c>
      <c r="E86" s="53" t="str">
        <f t="shared" si="2"/>
        <v>no</v>
      </c>
    </row>
    <row r="87" spans="1:5" x14ac:dyDescent="0.35">
      <c r="A87" s="71"/>
      <c r="B87" s="71"/>
      <c r="C87" s="71"/>
      <c r="D87" s="53" t="str">
        <f t="shared" si="3"/>
        <v>-</v>
      </c>
      <c r="E87" s="53" t="str">
        <f t="shared" si="2"/>
        <v>no</v>
      </c>
    </row>
    <row r="88" spans="1:5" x14ac:dyDescent="0.35">
      <c r="A88" s="71"/>
      <c r="B88" s="71"/>
      <c r="C88" s="71"/>
      <c r="D88" s="53" t="str">
        <f t="shared" si="3"/>
        <v>-</v>
      </c>
      <c r="E88" s="53" t="str">
        <f t="shared" si="2"/>
        <v>no</v>
      </c>
    </row>
    <row r="89" spans="1:5" x14ac:dyDescent="0.35">
      <c r="A89" s="71"/>
      <c r="B89" s="71"/>
      <c r="C89" s="71"/>
      <c r="D89" s="53" t="str">
        <f t="shared" si="3"/>
        <v>-</v>
      </c>
      <c r="E89" s="53" t="str">
        <f t="shared" si="2"/>
        <v>no</v>
      </c>
    </row>
    <row r="90" spans="1:5" x14ac:dyDescent="0.35">
      <c r="A90" s="71"/>
      <c r="B90" s="71"/>
      <c r="C90" s="71"/>
      <c r="D90" s="53" t="str">
        <f t="shared" si="3"/>
        <v>-</v>
      </c>
      <c r="E90" s="53" t="str">
        <f t="shared" si="2"/>
        <v>no</v>
      </c>
    </row>
    <row r="91" spans="1:5" x14ac:dyDescent="0.35">
      <c r="A91" s="71"/>
      <c r="B91" s="71"/>
      <c r="C91" s="71"/>
      <c r="D91" s="53" t="str">
        <f t="shared" si="3"/>
        <v>-</v>
      </c>
      <c r="E91" s="53" t="str">
        <f t="shared" si="2"/>
        <v>no</v>
      </c>
    </row>
    <row r="92" spans="1:5" x14ac:dyDescent="0.35">
      <c r="A92" s="71"/>
      <c r="B92" s="71"/>
      <c r="C92" s="71"/>
      <c r="D92" s="53" t="str">
        <f t="shared" si="3"/>
        <v>-</v>
      </c>
      <c r="E92" s="53" t="str">
        <f t="shared" si="2"/>
        <v>no</v>
      </c>
    </row>
    <row r="93" spans="1:5" x14ac:dyDescent="0.35">
      <c r="A93" s="71"/>
      <c r="B93" s="71"/>
      <c r="C93" s="71"/>
      <c r="D93" s="53" t="str">
        <f t="shared" si="3"/>
        <v>-</v>
      </c>
      <c r="E93" s="53" t="str">
        <f t="shared" ref="E93:E156" si="4">IF(IFERROR(VLOOKUP(B93, K$18:K$1006, 1, FALSE), "no")="no", "no", "yes")</f>
        <v>no</v>
      </c>
    </row>
    <row r="94" spans="1:5" x14ac:dyDescent="0.35">
      <c r="A94" s="71"/>
      <c r="B94" s="71"/>
      <c r="C94" s="71"/>
      <c r="D94" s="53" t="str">
        <f t="shared" ref="D94:D157" si="5">IF(C94="","-",D93+C94)</f>
        <v>-</v>
      </c>
      <c r="E94" s="53" t="str">
        <f t="shared" si="4"/>
        <v>no</v>
      </c>
    </row>
    <row r="95" spans="1:5" x14ac:dyDescent="0.35">
      <c r="A95" s="71"/>
      <c r="B95" s="71"/>
      <c r="C95" s="71"/>
      <c r="D95" s="53" t="str">
        <f t="shared" si="5"/>
        <v>-</v>
      </c>
      <c r="E95" s="53" t="str">
        <f t="shared" si="4"/>
        <v>no</v>
      </c>
    </row>
    <row r="96" spans="1:5" x14ac:dyDescent="0.35">
      <c r="A96" s="71"/>
      <c r="B96" s="71"/>
      <c r="C96" s="71"/>
      <c r="D96" s="53" t="str">
        <f t="shared" si="5"/>
        <v>-</v>
      </c>
      <c r="E96" s="53" t="str">
        <f t="shared" si="4"/>
        <v>no</v>
      </c>
    </row>
    <row r="97" spans="1:5" x14ac:dyDescent="0.35">
      <c r="A97" s="71"/>
      <c r="B97" s="71"/>
      <c r="C97" s="71"/>
      <c r="D97" s="53" t="str">
        <f t="shared" si="5"/>
        <v>-</v>
      </c>
      <c r="E97" s="53" t="str">
        <f t="shared" si="4"/>
        <v>no</v>
      </c>
    </row>
    <row r="98" spans="1:5" x14ac:dyDescent="0.35">
      <c r="A98" s="71"/>
      <c r="B98" s="71"/>
      <c r="C98" s="71"/>
      <c r="D98" s="53" t="str">
        <f t="shared" si="5"/>
        <v>-</v>
      </c>
      <c r="E98" s="53" t="str">
        <f t="shared" si="4"/>
        <v>no</v>
      </c>
    </row>
    <row r="99" spans="1:5" x14ac:dyDescent="0.35">
      <c r="A99" s="71"/>
      <c r="B99" s="71"/>
      <c r="C99" s="71"/>
      <c r="D99" s="53" t="str">
        <f t="shared" si="5"/>
        <v>-</v>
      </c>
      <c r="E99" s="53" t="str">
        <f t="shared" si="4"/>
        <v>no</v>
      </c>
    </row>
    <row r="100" spans="1:5" x14ac:dyDescent="0.35">
      <c r="A100" s="71"/>
      <c r="B100" s="71"/>
      <c r="C100" s="71"/>
      <c r="D100" s="53" t="str">
        <f t="shared" si="5"/>
        <v>-</v>
      </c>
      <c r="E100" s="53" t="str">
        <f t="shared" si="4"/>
        <v>no</v>
      </c>
    </row>
    <row r="101" spans="1:5" x14ac:dyDescent="0.35">
      <c r="A101" s="71"/>
      <c r="B101" s="71"/>
      <c r="C101" s="71"/>
      <c r="D101" s="53" t="str">
        <f t="shared" si="5"/>
        <v>-</v>
      </c>
      <c r="E101" s="53" t="str">
        <f t="shared" si="4"/>
        <v>no</v>
      </c>
    </row>
    <row r="102" spans="1:5" x14ac:dyDescent="0.35">
      <c r="A102" s="71"/>
      <c r="B102" s="71"/>
      <c r="C102" s="71"/>
      <c r="D102" s="53" t="str">
        <f t="shared" si="5"/>
        <v>-</v>
      </c>
      <c r="E102" s="53" t="str">
        <f t="shared" si="4"/>
        <v>no</v>
      </c>
    </row>
    <row r="103" spans="1:5" x14ac:dyDescent="0.35">
      <c r="A103" s="71"/>
      <c r="B103" s="71"/>
      <c r="C103" s="71"/>
      <c r="D103" s="53" t="str">
        <f t="shared" si="5"/>
        <v>-</v>
      </c>
      <c r="E103" s="53" t="str">
        <f t="shared" si="4"/>
        <v>no</v>
      </c>
    </row>
    <row r="104" spans="1:5" x14ac:dyDescent="0.35">
      <c r="A104" s="71"/>
      <c r="B104" s="71"/>
      <c r="C104" s="71"/>
      <c r="D104" s="53" t="str">
        <f t="shared" si="5"/>
        <v>-</v>
      </c>
      <c r="E104" s="53" t="str">
        <f t="shared" si="4"/>
        <v>no</v>
      </c>
    </row>
    <row r="105" spans="1:5" x14ac:dyDescent="0.35">
      <c r="A105" s="71"/>
      <c r="B105" s="71"/>
      <c r="C105" s="71"/>
      <c r="D105" s="53" t="str">
        <f t="shared" si="5"/>
        <v>-</v>
      </c>
      <c r="E105" s="53" t="str">
        <f t="shared" si="4"/>
        <v>no</v>
      </c>
    </row>
    <row r="106" spans="1:5" x14ac:dyDescent="0.35">
      <c r="A106" s="71"/>
      <c r="B106" s="71"/>
      <c r="C106" s="71"/>
      <c r="D106" s="53" t="str">
        <f t="shared" si="5"/>
        <v>-</v>
      </c>
      <c r="E106" s="53" t="str">
        <f t="shared" si="4"/>
        <v>no</v>
      </c>
    </row>
    <row r="107" spans="1:5" x14ac:dyDescent="0.35">
      <c r="A107" s="71"/>
      <c r="B107" s="71"/>
      <c r="C107" s="71"/>
      <c r="D107" s="53" t="str">
        <f t="shared" si="5"/>
        <v>-</v>
      </c>
      <c r="E107" s="53" t="str">
        <f t="shared" si="4"/>
        <v>no</v>
      </c>
    </row>
    <row r="108" spans="1:5" x14ac:dyDescent="0.35">
      <c r="A108" s="71"/>
      <c r="B108" s="71"/>
      <c r="C108" s="71"/>
      <c r="D108" s="53" t="str">
        <f t="shared" si="5"/>
        <v>-</v>
      </c>
      <c r="E108" s="53" t="str">
        <f t="shared" si="4"/>
        <v>no</v>
      </c>
    </row>
    <row r="109" spans="1:5" x14ac:dyDescent="0.35">
      <c r="A109" s="71"/>
      <c r="B109" s="71"/>
      <c r="C109" s="71"/>
      <c r="D109" s="53" t="str">
        <f t="shared" si="5"/>
        <v>-</v>
      </c>
      <c r="E109" s="53" t="str">
        <f t="shared" si="4"/>
        <v>no</v>
      </c>
    </row>
    <row r="110" spans="1:5" x14ac:dyDescent="0.35">
      <c r="A110" s="71"/>
      <c r="B110" s="71"/>
      <c r="C110" s="71"/>
      <c r="D110" s="53" t="str">
        <f t="shared" si="5"/>
        <v>-</v>
      </c>
      <c r="E110" s="53" t="str">
        <f t="shared" si="4"/>
        <v>no</v>
      </c>
    </row>
    <row r="111" spans="1:5" x14ac:dyDescent="0.35">
      <c r="A111" s="71"/>
      <c r="B111" s="71"/>
      <c r="C111" s="71"/>
      <c r="D111" s="53" t="str">
        <f t="shared" si="5"/>
        <v>-</v>
      </c>
      <c r="E111" s="53" t="str">
        <f t="shared" si="4"/>
        <v>no</v>
      </c>
    </row>
    <row r="112" spans="1:5" x14ac:dyDescent="0.35">
      <c r="A112" s="71"/>
      <c r="B112" s="71"/>
      <c r="C112" s="71"/>
      <c r="D112" s="53" t="str">
        <f t="shared" si="5"/>
        <v>-</v>
      </c>
      <c r="E112" s="53" t="str">
        <f t="shared" si="4"/>
        <v>no</v>
      </c>
    </row>
    <row r="113" spans="1:5" x14ac:dyDescent="0.35">
      <c r="A113" s="71"/>
      <c r="B113" s="71"/>
      <c r="C113" s="71"/>
      <c r="D113" s="53" t="str">
        <f t="shared" si="5"/>
        <v>-</v>
      </c>
      <c r="E113" s="53" t="str">
        <f t="shared" si="4"/>
        <v>no</v>
      </c>
    </row>
    <row r="114" spans="1:5" x14ac:dyDescent="0.35">
      <c r="A114" s="71"/>
      <c r="B114" s="71"/>
      <c r="C114" s="71"/>
      <c r="D114" s="53" t="str">
        <f t="shared" si="5"/>
        <v>-</v>
      </c>
      <c r="E114" s="53" t="str">
        <f t="shared" si="4"/>
        <v>no</v>
      </c>
    </row>
    <row r="115" spans="1:5" x14ac:dyDescent="0.35">
      <c r="A115" s="71"/>
      <c r="B115" s="71"/>
      <c r="C115" s="71"/>
      <c r="D115" s="53" t="str">
        <f t="shared" si="5"/>
        <v>-</v>
      </c>
      <c r="E115" s="53" t="str">
        <f t="shared" si="4"/>
        <v>no</v>
      </c>
    </row>
    <row r="116" spans="1:5" x14ac:dyDescent="0.35">
      <c r="A116" s="71"/>
      <c r="B116" s="71"/>
      <c r="C116" s="71"/>
      <c r="D116" s="53" t="str">
        <f t="shared" si="5"/>
        <v>-</v>
      </c>
      <c r="E116" s="53" t="str">
        <f t="shared" si="4"/>
        <v>no</v>
      </c>
    </row>
    <row r="117" spans="1:5" x14ac:dyDescent="0.35">
      <c r="A117" s="71"/>
      <c r="B117" s="71"/>
      <c r="C117" s="71"/>
      <c r="D117" s="53" t="str">
        <f t="shared" si="5"/>
        <v>-</v>
      </c>
      <c r="E117" s="53" t="str">
        <f t="shared" si="4"/>
        <v>no</v>
      </c>
    </row>
    <row r="118" spans="1:5" x14ac:dyDescent="0.35">
      <c r="A118" s="71"/>
      <c r="B118" s="71"/>
      <c r="C118" s="71"/>
      <c r="D118" s="53" t="str">
        <f t="shared" si="5"/>
        <v>-</v>
      </c>
      <c r="E118" s="53" t="str">
        <f t="shared" si="4"/>
        <v>no</v>
      </c>
    </row>
    <row r="119" spans="1:5" x14ac:dyDescent="0.35">
      <c r="A119" s="71"/>
      <c r="B119" s="71"/>
      <c r="C119" s="71"/>
      <c r="D119" s="53" t="str">
        <f t="shared" si="5"/>
        <v>-</v>
      </c>
      <c r="E119" s="53" t="str">
        <f t="shared" si="4"/>
        <v>no</v>
      </c>
    </row>
    <row r="120" spans="1:5" x14ac:dyDescent="0.35">
      <c r="A120" s="71"/>
      <c r="B120" s="71"/>
      <c r="C120" s="71"/>
      <c r="D120" s="53" t="str">
        <f t="shared" si="5"/>
        <v>-</v>
      </c>
      <c r="E120" s="53" t="str">
        <f t="shared" si="4"/>
        <v>no</v>
      </c>
    </row>
    <row r="121" spans="1:5" x14ac:dyDescent="0.35">
      <c r="A121" s="71"/>
      <c r="B121" s="71"/>
      <c r="C121" s="71"/>
      <c r="D121" s="53" t="str">
        <f t="shared" si="5"/>
        <v>-</v>
      </c>
      <c r="E121" s="53" t="str">
        <f t="shared" si="4"/>
        <v>no</v>
      </c>
    </row>
    <row r="122" spans="1:5" x14ac:dyDescent="0.35">
      <c r="A122" s="71"/>
      <c r="B122" s="71"/>
      <c r="C122" s="71"/>
      <c r="D122" s="53" t="str">
        <f t="shared" si="5"/>
        <v>-</v>
      </c>
      <c r="E122" s="53" t="str">
        <f t="shared" si="4"/>
        <v>no</v>
      </c>
    </row>
    <row r="123" spans="1:5" x14ac:dyDescent="0.35">
      <c r="A123" s="71"/>
      <c r="B123" s="71"/>
      <c r="C123" s="71"/>
      <c r="D123" s="53" t="str">
        <f t="shared" si="5"/>
        <v>-</v>
      </c>
      <c r="E123" s="53" t="str">
        <f t="shared" si="4"/>
        <v>no</v>
      </c>
    </row>
    <row r="124" spans="1:5" x14ac:dyDescent="0.35">
      <c r="A124" s="71"/>
      <c r="B124" s="71"/>
      <c r="C124" s="71"/>
      <c r="D124" s="53" t="str">
        <f t="shared" si="5"/>
        <v>-</v>
      </c>
      <c r="E124" s="53" t="str">
        <f t="shared" si="4"/>
        <v>no</v>
      </c>
    </row>
    <row r="125" spans="1:5" x14ac:dyDescent="0.35">
      <c r="A125" s="71"/>
      <c r="B125" s="71"/>
      <c r="C125" s="71"/>
      <c r="D125" s="53" t="str">
        <f t="shared" si="5"/>
        <v>-</v>
      </c>
      <c r="E125" s="53" t="str">
        <f t="shared" si="4"/>
        <v>no</v>
      </c>
    </row>
    <row r="126" spans="1:5" x14ac:dyDescent="0.35">
      <c r="A126" s="71"/>
      <c r="B126" s="71"/>
      <c r="C126" s="71"/>
      <c r="D126" s="53" t="str">
        <f t="shared" si="5"/>
        <v>-</v>
      </c>
      <c r="E126" s="53" t="str">
        <f t="shared" si="4"/>
        <v>no</v>
      </c>
    </row>
    <row r="127" spans="1:5" x14ac:dyDescent="0.35">
      <c r="A127" s="71"/>
      <c r="B127" s="71"/>
      <c r="C127" s="71"/>
      <c r="D127" s="53" t="str">
        <f t="shared" si="5"/>
        <v>-</v>
      </c>
      <c r="E127" s="53" t="str">
        <f t="shared" si="4"/>
        <v>no</v>
      </c>
    </row>
    <row r="128" spans="1:5" x14ac:dyDescent="0.35">
      <c r="A128" s="71"/>
      <c r="B128" s="71"/>
      <c r="C128" s="71"/>
      <c r="D128" s="53" t="str">
        <f t="shared" si="5"/>
        <v>-</v>
      </c>
      <c r="E128" s="53" t="str">
        <f t="shared" si="4"/>
        <v>no</v>
      </c>
    </row>
    <row r="129" spans="1:5" x14ac:dyDescent="0.35">
      <c r="A129" s="71"/>
      <c r="B129" s="71"/>
      <c r="C129" s="71"/>
      <c r="D129" s="53" t="str">
        <f t="shared" si="5"/>
        <v>-</v>
      </c>
      <c r="E129" s="53" t="str">
        <f t="shared" si="4"/>
        <v>no</v>
      </c>
    </row>
    <row r="130" spans="1:5" x14ac:dyDescent="0.35">
      <c r="A130" s="71"/>
      <c r="B130" s="71"/>
      <c r="C130" s="71"/>
      <c r="D130" s="53" t="str">
        <f t="shared" si="5"/>
        <v>-</v>
      </c>
      <c r="E130" s="53" t="str">
        <f t="shared" si="4"/>
        <v>no</v>
      </c>
    </row>
    <row r="131" spans="1:5" x14ac:dyDescent="0.35">
      <c r="A131" s="71"/>
      <c r="B131" s="71"/>
      <c r="C131" s="71"/>
      <c r="D131" s="53" t="str">
        <f t="shared" si="5"/>
        <v>-</v>
      </c>
      <c r="E131" s="53" t="str">
        <f t="shared" si="4"/>
        <v>no</v>
      </c>
    </row>
    <row r="132" spans="1:5" x14ac:dyDescent="0.35">
      <c r="A132" s="71"/>
      <c r="B132" s="71"/>
      <c r="C132" s="71"/>
      <c r="D132" s="53" t="str">
        <f t="shared" si="5"/>
        <v>-</v>
      </c>
      <c r="E132" s="53" t="str">
        <f t="shared" si="4"/>
        <v>no</v>
      </c>
    </row>
    <row r="133" spans="1:5" x14ac:dyDescent="0.35">
      <c r="A133" s="71"/>
      <c r="B133" s="71"/>
      <c r="C133" s="71"/>
      <c r="D133" s="53" t="str">
        <f t="shared" si="5"/>
        <v>-</v>
      </c>
      <c r="E133" s="53" t="str">
        <f t="shared" si="4"/>
        <v>no</v>
      </c>
    </row>
    <row r="134" spans="1:5" x14ac:dyDescent="0.35">
      <c r="A134" s="71"/>
      <c r="B134" s="71"/>
      <c r="C134" s="71"/>
      <c r="D134" s="53" t="str">
        <f t="shared" si="5"/>
        <v>-</v>
      </c>
      <c r="E134" s="53" t="str">
        <f t="shared" si="4"/>
        <v>no</v>
      </c>
    </row>
    <row r="135" spans="1:5" x14ac:dyDescent="0.35">
      <c r="A135" s="71"/>
      <c r="B135" s="71"/>
      <c r="C135" s="71"/>
      <c r="D135" s="53" t="str">
        <f t="shared" si="5"/>
        <v>-</v>
      </c>
      <c r="E135" s="53" t="str">
        <f t="shared" si="4"/>
        <v>no</v>
      </c>
    </row>
    <row r="136" spans="1:5" x14ac:dyDescent="0.35">
      <c r="A136" s="71"/>
      <c r="B136" s="71"/>
      <c r="C136" s="71"/>
      <c r="D136" s="53" t="str">
        <f t="shared" si="5"/>
        <v>-</v>
      </c>
      <c r="E136" s="53" t="str">
        <f t="shared" si="4"/>
        <v>no</v>
      </c>
    </row>
    <row r="137" spans="1:5" x14ac:dyDescent="0.35">
      <c r="A137" s="71"/>
      <c r="B137" s="71"/>
      <c r="C137" s="71"/>
      <c r="D137" s="53" t="str">
        <f t="shared" si="5"/>
        <v>-</v>
      </c>
      <c r="E137" s="53" t="str">
        <f t="shared" si="4"/>
        <v>no</v>
      </c>
    </row>
    <row r="138" spans="1:5" x14ac:dyDescent="0.35">
      <c r="A138" s="71"/>
      <c r="B138" s="71"/>
      <c r="C138" s="71"/>
      <c r="D138" s="53" t="str">
        <f t="shared" si="5"/>
        <v>-</v>
      </c>
      <c r="E138" s="53" t="str">
        <f t="shared" si="4"/>
        <v>no</v>
      </c>
    </row>
    <row r="139" spans="1:5" x14ac:dyDescent="0.35">
      <c r="A139" s="71"/>
      <c r="B139" s="71"/>
      <c r="C139" s="71"/>
      <c r="D139" s="53" t="str">
        <f t="shared" si="5"/>
        <v>-</v>
      </c>
      <c r="E139" s="53" t="str">
        <f t="shared" si="4"/>
        <v>no</v>
      </c>
    </row>
    <row r="140" spans="1:5" x14ac:dyDescent="0.35">
      <c r="A140" s="71"/>
      <c r="B140" s="71"/>
      <c r="C140" s="71"/>
      <c r="D140" s="53" t="str">
        <f t="shared" si="5"/>
        <v>-</v>
      </c>
      <c r="E140" s="53" t="str">
        <f t="shared" si="4"/>
        <v>no</v>
      </c>
    </row>
    <row r="141" spans="1:5" x14ac:dyDescent="0.35">
      <c r="A141" s="71"/>
      <c r="B141" s="71"/>
      <c r="C141" s="71"/>
      <c r="D141" s="53" t="str">
        <f t="shared" si="5"/>
        <v>-</v>
      </c>
      <c r="E141" s="53" t="str">
        <f t="shared" si="4"/>
        <v>no</v>
      </c>
    </row>
    <row r="142" spans="1:5" x14ac:dyDescent="0.35">
      <c r="A142" s="71"/>
      <c r="B142" s="71"/>
      <c r="C142" s="71"/>
      <c r="D142" s="53" t="str">
        <f t="shared" si="5"/>
        <v>-</v>
      </c>
      <c r="E142" s="53" t="str">
        <f t="shared" si="4"/>
        <v>no</v>
      </c>
    </row>
    <row r="143" spans="1:5" x14ac:dyDescent="0.35">
      <c r="A143" s="71"/>
      <c r="B143" s="71"/>
      <c r="C143" s="71"/>
      <c r="D143" s="53" t="str">
        <f t="shared" si="5"/>
        <v>-</v>
      </c>
      <c r="E143" s="53" t="str">
        <f t="shared" si="4"/>
        <v>no</v>
      </c>
    </row>
    <row r="144" spans="1:5" x14ac:dyDescent="0.35">
      <c r="A144" s="71"/>
      <c r="B144" s="71"/>
      <c r="C144" s="71"/>
      <c r="D144" s="53" t="str">
        <f t="shared" si="5"/>
        <v>-</v>
      </c>
      <c r="E144" s="53" t="str">
        <f t="shared" si="4"/>
        <v>no</v>
      </c>
    </row>
    <row r="145" spans="1:5" x14ac:dyDescent="0.35">
      <c r="A145" s="71"/>
      <c r="B145" s="71"/>
      <c r="C145" s="71"/>
      <c r="D145" s="53" t="str">
        <f t="shared" si="5"/>
        <v>-</v>
      </c>
      <c r="E145" s="53" t="str">
        <f t="shared" si="4"/>
        <v>no</v>
      </c>
    </row>
    <row r="146" spans="1:5" x14ac:dyDescent="0.35">
      <c r="A146" s="71"/>
      <c r="B146" s="71"/>
      <c r="C146" s="71"/>
      <c r="D146" s="53" t="str">
        <f t="shared" si="5"/>
        <v>-</v>
      </c>
      <c r="E146" s="53" t="str">
        <f t="shared" si="4"/>
        <v>no</v>
      </c>
    </row>
    <row r="147" spans="1:5" x14ac:dyDescent="0.35">
      <c r="A147" s="71"/>
      <c r="B147" s="71"/>
      <c r="C147" s="71"/>
      <c r="D147" s="53" t="str">
        <f t="shared" si="5"/>
        <v>-</v>
      </c>
      <c r="E147" s="53" t="str">
        <f t="shared" si="4"/>
        <v>no</v>
      </c>
    </row>
    <row r="148" spans="1:5" x14ac:dyDescent="0.35">
      <c r="A148" s="71"/>
      <c r="B148" s="71"/>
      <c r="C148" s="71"/>
      <c r="D148" s="53" t="str">
        <f t="shared" si="5"/>
        <v>-</v>
      </c>
      <c r="E148" s="53" t="str">
        <f t="shared" si="4"/>
        <v>no</v>
      </c>
    </row>
    <row r="149" spans="1:5" x14ac:dyDescent="0.35">
      <c r="A149" s="71"/>
      <c r="B149" s="71"/>
      <c r="C149" s="71"/>
      <c r="D149" s="53" t="str">
        <f t="shared" si="5"/>
        <v>-</v>
      </c>
      <c r="E149" s="53" t="str">
        <f t="shared" si="4"/>
        <v>no</v>
      </c>
    </row>
    <row r="150" spans="1:5" x14ac:dyDescent="0.35">
      <c r="A150" s="71"/>
      <c r="B150" s="71"/>
      <c r="C150" s="71"/>
      <c r="D150" s="53" t="str">
        <f t="shared" si="5"/>
        <v>-</v>
      </c>
      <c r="E150" s="53" t="str">
        <f t="shared" si="4"/>
        <v>no</v>
      </c>
    </row>
    <row r="151" spans="1:5" x14ac:dyDescent="0.35">
      <c r="A151" s="71"/>
      <c r="B151" s="71"/>
      <c r="C151" s="71"/>
      <c r="D151" s="53" t="str">
        <f t="shared" si="5"/>
        <v>-</v>
      </c>
      <c r="E151" s="53" t="str">
        <f t="shared" si="4"/>
        <v>no</v>
      </c>
    </row>
    <row r="152" spans="1:5" x14ac:dyDescent="0.35">
      <c r="A152" s="71"/>
      <c r="B152" s="71"/>
      <c r="C152" s="71"/>
      <c r="D152" s="53" t="str">
        <f t="shared" si="5"/>
        <v>-</v>
      </c>
      <c r="E152" s="53" t="str">
        <f t="shared" si="4"/>
        <v>no</v>
      </c>
    </row>
    <row r="153" spans="1:5" x14ac:dyDescent="0.35">
      <c r="A153" s="71"/>
      <c r="B153" s="71"/>
      <c r="C153" s="71"/>
      <c r="D153" s="53" t="str">
        <f t="shared" si="5"/>
        <v>-</v>
      </c>
      <c r="E153" s="53" t="str">
        <f t="shared" si="4"/>
        <v>no</v>
      </c>
    </row>
    <row r="154" spans="1:5" x14ac:dyDescent="0.35">
      <c r="A154" s="71"/>
      <c r="B154" s="71"/>
      <c r="C154" s="71"/>
      <c r="D154" s="53" t="str">
        <f t="shared" si="5"/>
        <v>-</v>
      </c>
      <c r="E154" s="53" t="str">
        <f t="shared" si="4"/>
        <v>no</v>
      </c>
    </row>
    <row r="155" spans="1:5" x14ac:dyDescent="0.35">
      <c r="A155" s="71"/>
      <c r="B155" s="71"/>
      <c r="C155" s="71"/>
      <c r="D155" s="53" t="str">
        <f t="shared" si="5"/>
        <v>-</v>
      </c>
      <c r="E155" s="53" t="str">
        <f t="shared" si="4"/>
        <v>no</v>
      </c>
    </row>
    <row r="156" spans="1:5" x14ac:dyDescent="0.35">
      <c r="A156" s="71"/>
      <c r="B156" s="71"/>
      <c r="C156" s="71"/>
      <c r="D156" s="53" t="str">
        <f t="shared" si="5"/>
        <v>-</v>
      </c>
      <c r="E156" s="53" t="str">
        <f t="shared" si="4"/>
        <v>no</v>
      </c>
    </row>
    <row r="157" spans="1:5" x14ac:dyDescent="0.35">
      <c r="A157" s="71"/>
      <c r="B157" s="71"/>
      <c r="C157" s="71"/>
      <c r="D157" s="53" t="str">
        <f t="shared" si="5"/>
        <v>-</v>
      </c>
      <c r="E157" s="53" t="str">
        <f t="shared" ref="E157:E207" si="6">IF(IFERROR(VLOOKUP(B157, K$18:K$1006, 1, FALSE), "no")="no", "no", "yes")</f>
        <v>no</v>
      </c>
    </row>
    <row r="158" spans="1:5" x14ac:dyDescent="0.35">
      <c r="A158" s="71"/>
      <c r="B158" s="71"/>
      <c r="C158" s="71"/>
      <c r="D158" s="53" t="str">
        <f t="shared" ref="D158:D207" si="7">IF(C158="","-",D157+C158)</f>
        <v>-</v>
      </c>
      <c r="E158" s="53" t="str">
        <f t="shared" si="6"/>
        <v>no</v>
      </c>
    </row>
    <row r="159" spans="1:5" x14ac:dyDescent="0.35">
      <c r="A159" s="71"/>
      <c r="B159" s="71"/>
      <c r="C159" s="71"/>
      <c r="D159" s="53" t="str">
        <f t="shared" si="7"/>
        <v>-</v>
      </c>
      <c r="E159" s="53" t="str">
        <f t="shared" si="6"/>
        <v>no</v>
      </c>
    </row>
    <row r="160" spans="1:5" x14ac:dyDescent="0.35">
      <c r="A160" s="71"/>
      <c r="B160" s="71"/>
      <c r="C160" s="71"/>
      <c r="D160" s="53" t="str">
        <f t="shared" si="7"/>
        <v>-</v>
      </c>
      <c r="E160" s="53" t="str">
        <f t="shared" si="6"/>
        <v>no</v>
      </c>
    </row>
    <row r="161" spans="1:5" x14ac:dyDescent="0.35">
      <c r="A161" s="71"/>
      <c r="B161" s="71"/>
      <c r="C161" s="71"/>
      <c r="D161" s="53" t="str">
        <f t="shared" si="7"/>
        <v>-</v>
      </c>
      <c r="E161" s="53" t="str">
        <f t="shared" si="6"/>
        <v>no</v>
      </c>
    </row>
    <row r="162" spans="1:5" x14ac:dyDescent="0.35">
      <c r="A162" s="71"/>
      <c r="B162" s="71"/>
      <c r="C162" s="71"/>
      <c r="D162" s="53" t="str">
        <f t="shared" si="7"/>
        <v>-</v>
      </c>
      <c r="E162" s="53" t="str">
        <f t="shared" si="6"/>
        <v>no</v>
      </c>
    </row>
    <row r="163" spans="1:5" x14ac:dyDescent="0.35">
      <c r="A163" s="71"/>
      <c r="B163" s="71"/>
      <c r="C163" s="71"/>
      <c r="D163" s="53" t="str">
        <f t="shared" si="7"/>
        <v>-</v>
      </c>
      <c r="E163" s="53" t="str">
        <f t="shared" si="6"/>
        <v>no</v>
      </c>
    </row>
    <row r="164" spans="1:5" x14ac:dyDescent="0.35">
      <c r="A164" s="71"/>
      <c r="B164" s="71"/>
      <c r="C164" s="71"/>
      <c r="D164" s="53" t="str">
        <f t="shared" si="7"/>
        <v>-</v>
      </c>
      <c r="E164" s="53" t="str">
        <f t="shared" si="6"/>
        <v>no</v>
      </c>
    </row>
    <row r="165" spans="1:5" x14ac:dyDescent="0.35">
      <c r="A165" s="71"/>
      <c r="B165" s="71"/>
      <c r="C165" s="71"/>
      <c r="D165" s="53" t="str">
        <f t="shared" si="7"/>
        <v>-</v>
      </c>
      <c r="E165" s="53" t="str">
        <f t="shared" si="6"/>
        <v>no</v>
      </c>
    </row>
    <row r="166" spans="1:5" x14ac:dyDescent="0.35">
      <c r="A166" s="71"/>
      <c r="B166" s="71"/>
      <c r="C166" s="71"/>
      <c r="D166" s="53" t="str">
        <f t="shared" si="7"/>
        <v>-</v>
      </c>
      <c r="E166" s="53" t="str">
        <f t="shared" si="6"/>
        <v>no</v>
      </c>
    </row>
    <row r="167" spans="1:5" x14ac:dyDescent="0.35">
      <c r="A167" s="71"/>
      <c r="B167" s="71"/>
      <c r="C167" s="71"/>
      <c r="D167" s="53" t="str">
        <f t="shared" si="7"/>
        <v>-</v>
      </c>
      <c r="E167" s="53" t="str">
        <f t="shared" si="6"/>
        <v>no</v>
      </c>
    </row>
    <row r="168" spans="1:5" x14ac:dyDescent="0.35">
      <c r="A168" s="71"/>
      <c r="B168" s="71"/>
      <c r="C168" s="71"/>
      <c r="D168" s="53" t="str">
        <f t="shared" si="7"/>
        <v>-</v>
      </c>
      <c r="E168" s="53" t="str">
        <f t="shared" si="6"/>
        <v>no</v>
      </c>
    </row>
    <row r="169" spans="1:5" x14ac:dyDescent="0.35">
      <c r="A169" s="71"/>
      <c r="B169" s="71"/>
      <c r="C169" s="71"/>
      <c r="D169" s="53" t="str">
        <f t="shared" si="7"/>
        <v>-</v>
      </c>
      <c r="E169" s="53" t="str">
        <f t="shared" si="6"/>
        <v>no</v>
      </c>
    </row>
    <row r="170" spans="1:5" x14ac:dyDescent="0.35">
      <c r="A170" s="71"/>
      <c r="B170" s="71"/>
      <c r="C170" s="71"/>
      <c r="D170" s="53" t="str">
        <f t="shared" si="7"/>
        <v>-</v>
      </c>
      <c r="E170" s="53" t="str">
        <f t="shared" si="6"/>
        <v>no</v>
      </c>
    </row>
    <row r="171" spans="1:5" x14ac:dyDescent="0.35">
      <c r="A171" s="71"/>
      <c r="B171" s="71"/>
      <c r="C171" s="71"/>
      <c r="D171" s="53" t="str">
        <f t="shared" si="7"/>
        <v>-</v>
      </c>
      <c r="E171" s="53" t="str">
        <f t="shared" si="6"/>
        <v>no</v>
      </c>
    </row>
    <row r="172" spans="1:5" x14ac:dyDescent="0.35">
      <c r="A172" s="71"/>
      <c r="B172" s="71"/>
      <c r="C172" s="71"/>
      <c r="D172" s="53" t="str">
        <f t="shared" si="7"/>
        <v>-</v>
      </c>
      <c r="E172" s="53" t="str">
        <f t="shared" si="6"/>
        <v>no</v>
      </c>
    </row>
    <row r="173" spans="1:5" x14ac:dyDescent="0.35">
      <c r="A173" s="71"/>
      <c r="B173" s="71"/>
      <c r="C173" s="71"/>
      <c r="D173" s="53" t="str">
        <f t="shared" si="7"/>
        <v>-</v>
      </c>
      <c r="E173" s="53" t="str">
        <f t="shared" si="6"/>
        <v>no</v>
      </c>
    </row>
    <row r="174" spans="1:5" x14ac:dyDescent="0.35">
      <c r="A174" s="71"/>
      <c r="B174" s="71"/>
      <c r="C174" s="71"/>
      <c r="D174" s="53" t="str">
        <f t="shared" si="7"/>
        <v>-</v>
      </c>
      <c r="E174" s="53" t="str">
        <f t="shared" si="6"/>
        <v>no</v>
      </c>
    </row>
    <row r="175" spans="1:5" x14ac:dyDescent="0.35">
      <c r="A175" s="71"/>
      <c r="B175" s="71"/>
      <c r="C175" s="71"/>
      <c r="D175" s="53" t="str">
        <f t="shared" si="7"/>
        <v>-</v>
      </c>
      <c r="E175" s="53" t="str">
        <f t="shared" si="6"/>
        <v>no</v>
      </c>
    </row>
    <row r="176" spans="1:5" x14ac:dyDescent="0.35">
      <c r="A176" s="71"/>
      <c r="B176" s="71"/>
      <c r="C176" s="71"/>
      <c r="D176" s="53" t="str">
        <f t="shared" si="7"/>
        <v>-</v>
      </c>
      <c r="E176" s="53" t="str">
        <f t="shared" si="6"/>
        <v>no</v>
      </c>
    </row>
    <row r="177" spans="1:5" x14ac:dyDescent="0.35">
      <c r="A177" s="71"/>
      <c r="B177" s="71"/>
      <c r="C177" s="71"/>
      <c r="D177" s="53" t="str">
        <f t="shared" si="7"/>
        <v>-</v>
      </c>
      <c r="E177" s="53" t="str">
        <f t="shared" si="6"/>
        <v>no</v>
      </c>
    </row>
    <row r="178" spans="1:5" x14ac:dyDescent="0.35">
      <c r="A178" s="71"/>
      <c r="B178" s="71"/>
      <c r="C178" s="71"/>
      <c r="D178" s="53" t="str">
        <f t="shared" si="7"/>
        <v>-</v>
      </c>
      <c r="E178" s="53" t="str">
        <f t="shared" si="6"/>
        <v>no</v>
      </c>
    </row>
    <row r="179" spans="1:5" x14ac:dyDescent="0.35">
      <c r="A179" s="71"/>
      <c r="B179" s="71"/>
      <c r="C179" s="71"/>
      <c r="D179" s="53" t="str">
        <f t="shared" si="7"/>
        <v>-</v>
      </c>
      <c r="E179" s="53" t="str">
        <f t="shared" si="6"/>
        <v>no</v>
      </c>
    </row>
    <row r="180" spans="1:5" x14ac:dyDescent="0.35">
      <c r="A180" s="71"/>
      <c r="B180" s="71"/>
      <c r="C180" s="71"/>
      <c r="D180" s="53" t="str">
        <f t="shared" si="7"/>
        <v>-</v>
      </c>
      <c r="E180" s="53" t="str">
        <f t="shared" si="6"/>
        <v>no</v>
      </c>
    </row>
    <row r="181" spans="1:5" x14ac:dyDescent="0.35">
      <c r="A181" s="71"/>
      <c r="B181" s="71"/>
      <c r="C181" s="71"/>
      <c r="D181" s="53" t="str">
        <f t="shared" si="7"/>
        <v>-</v>
      </c>
      <c r="E181" s="53" t="str">
        <f t="shared" si="6"/>
        <v>no</v>
      </c>
    </row>
    <row r="182" spans="1:5" x14ac:dyDescent="0.35">
      <c r="A182" s="71"/>
      <c r="B182" s="71"/>
      <c r="C182" s="71"/>
      <c r="D182" s="53" t="str">
        <f t="shared" si="7"/>
        <v>-</v>
      </c>
      <c r="E182" s="53" t="str">
        <f t="shared" si="6"/>
        <v>no</v>
      </c>
    </row>
    <row r="183" spans="1:5" x14ac:dyDescent="0.35">
      <c r="A183" s="71"/>
      <c r="B183" s="71"/>
      <c r="C183" s="71"/>
      <c r="D183" s="53" t="str">
        <f t="shared" si="7"/>
        <v>-</v>
      </c>
      <c r="E183" s="53" t="str">
        <f t="shared" si="6"/>
        <v>no</v>
      </c>
    </row>
    <row r="184" spans="1:5" x14ac:dyDescent="0.35">
      <c r="A184" s="71"/>
      <c r="B184" s="71"/>
      <c r="C184" s="71"/>
      <c r="D184" s="53" t="str">
        <f t="shared" si="7"/>
        <v>-</v>
      </c>
      <c r="E184" s="53" t="str">
        <f t="shared" si="6"/>
        <v>no</v>
      </c>
    </row>
    <row r="185" spans="1:5" x14ac:dyDescent="0.35">
      <c r="A185" s="71"/>
      <c r="B185" s="71"/>
      <c r="C185" s="71"/>
      <c r="D185" s="53" t="str">
        <f t="shared" si="7"/>
        <v>-</v>
      </c>
      <c r="E185" s="53" t="str">
        <f t="shared" si="6"/>
        <v>no</v>
      </c>
    </row>
    <row r="186" spans="1:5" x14ac:dyDescent="0.35">
      <c r="A186" s="71"/>
      <c r="B186" s="71"/>
      <c r="C186" s="71"/>
      <c r="D186" s="53" t="str">
        <f t="shared" si="7"/>
        <v>-</v>
      </c>
      <c r="E186" s="53" t="str">
        <f t="shared" si="6"/>
        <v>no</v>
      </c>
    </row>
    <row r="187" spans="1:5" x14ac:dyDescent="0.35">
      <c r="A187" s="71"/>
      <c r="B187" s="71"/>
      <c r="C187" s="71"/>
      <c r="D187" s="53" t="str">
        <f t="shared" si="7"/>
        <v>-</v>
      </c>
      <c r="E187" s="53" t="str">
        <f t="shared" si="6"/>
        <v>no</v>
      </c>
    </row>
    <row r="188" spans="1:5" x14ac:dyDescent="0.35">
      <c r="A188" s="71"/>
      <c r="B188" s="71"/>
      <c r="C188" s="71"/>
      <c r="D188" s="53" t="str">
        <f t="shared" si="7"/>
        <v>-</v>
      </c>
      <c r="E188" s="53" t="str">
        <f t="shared" si="6"/>
        <v>no</v>
      </c>
    </row>
    <row r="189" spans="1:5" x14ac:dyDescent="0.35">
      <c r="A189" s="71"/>
      <c r="B189" s="71"/>
      <c r="C189" s="71"/>
      <c r="D189" s="53" t="str">
        <f t="shared" si="7"/>
        <v>-</v>
      </c>
      <c r="E189" s="53" t="str">
        <f t="shared" si="6"/>
        <v>no</v>
      </c>
    </row>
    <row r="190" spans="1:5" x14ac:dyDescent="0.35">
      <c r="A190" s="71"/>
      <c r="B190" s="71"/>
      <c r="C190" s="71"/>
      <c r="D190" s="53" t="str">
        <f t="shared" si="7"/>
        <v>-</v>
      </c>
      <c r="E190" s="53" t="str">
        <f t="shared" si="6"/>
        <v>no</v>
      </c>
    </row>
    <row r="191" spans="1:5" x14ac:dyDescent="0.35">
      <c r="A191" s="71"/>
      <c r="B191" s="71"/>
      <c r="C191" s="71"/>
      <c r="D191" s="53" t="str">
        <f t="shared" si="7"/>
        <v>-</v>
      </c>
      <c r="E191" s="53" t="str">
        <f t="shared" si="6"/>
        <v>no</v>
      </c>
    </row>
    <row r="192" spans="1:5" x14ac:dyDescent="0.35">
      <c r="A192" s="71"/>
      <c r="B192" s="71"/>
      <c r="C192" s="71"/>
      <c r="D192" s="53" t="str">
        <f t="shared" si="7"/>
        <v>-</v>
      </c>
      <c r="E192" s="53" t="str">
        <f t="shared" si="6"/>
        <v>no</v>
      </c>
    </row>
    <row r="193" spans="1:5" x14ac:dyDescent="0.35">
      <c r="A193" s="71"/>
      <c r="B193" s="71"/>
      <c r="C193" s="71"/>
      <c r="D193" s="53" t="str">
        <f t="shared" si="7"/>
        <v>-</v>
      </c>
      <c r="E193" s="53" t="str">
        <f t="shared" si="6"/>
        <v>no</v>
      </c>
    </row>
    <row r="194" spans="1:5" x14ac:dyDescent="0.35">
      <c r="A194" s="71"/>
      <c r="B194" s="71"/>
      <c r="C194" s="71"/>
      <c r="D194" s="53" t="str">
        <f t="shared" si="7"/>
        <v>-</v>
      </c>
      <c r="E194" s="53" t="str">
        <f t="shared" si="6"/>
        <v>no</v>
      </c>
    </row>
    <row r="195" spans="1:5" x14ac:dyDescent="0.35">
      <c r="A195" s="71"/>
      <c r="B195" s="71"/>
      <c r="C195" s="71"/>
      <c r="D195" s="53" t="str">
        <f t="shared" si="7"/>
        <v>-</v>
      </c>
      <c r="E195" s="53" t="str">
        <f t="shared" si="6"/>
        <v>no</v>
      </c>
    </row>
    <row r="196" spans="1:5" x14ac:dyDescent="0.35">
      <c r="A196" s="71"/>
      <c r="B196" s="71"/>
      <c r="C196" s="71"/>
      <c r="D196" s="53" t="str">
        <f t="shared" si="7"/>
        <v>-</v>
      </c>
      <c r="E196" s="53" t="str">
        <f t="shared" si="6"/>
        <v>no</v>
      </c>
    </row>
    <row r="197" spans="1:5" x14ac:dyDescent="0.35">
      <c r="A197" s="71"/>
      <c r="B197" s="71"/>
      <c r="C197" s="71"/>
      <c r="D197" s="53" t="str">
        <f t="shared" si="7"/>
        <v>-</v>
      </c>
      <c r="E197" s="53" t="str">
        <f t="shared" si="6"/>
        <v>no</v>
      </c>
    </row>
    <row r="198" spans="1:5" x14ac:dyDescent="0.35">
      <c r="A198" s="71"/>
      <c r="B198" s="71"/>
      <c r="C198" s="71"/>
      <c r="D198" s="53" t="str">
        <f t="shared" si="7"/>
        <v>-</v>
      </c>
      <c r="E198" s="53" t="str">
        <f t="shared" si="6"/>
        <v>no</v>
      </c>
    </row>
    <row r="199" spans="1:5" x14ac:dyDescent="0.35">
      <c r="A199" s="71"/>
      <c r="B199" s="71"/>
      <c r="C199" s="71"/>
      <c r="D199" s="53" t="str">
        <f t="shared" si="7"/>
        <v>-</v>
      </c>
      <c r="E199" s="53" t="str">
        <f t="shared" si="6"/>
        <v>no</v>
      </c>
    </row>
    <row r="200" spans="1:5" x14ac:dyDescent="0.35">
      <c r="A200" s="71"/>
      <c r="B200" s="71"/>
      <c r="C200" s="71"/>
      <c r="D200" s="53" t="str">
        <f t="shared" si="7"/>
        <v>-</v>
      </c>
      <c r="E200" s="53" t="str">
        <f t="shared" si="6"/>
        <v>no</v>
      </c>
    </row>
    <row r="201" spans="1:5" x14ac:dyDescent="0.35">
      <c r="A201" s="71"/>
      <c r="B201" s="71"/>
      <c r="C201" s="71"/>
      <c r="D201" s="53" t="str">
        <f t="shared" si="7"/>
        <v>-</v>
      </c>
      <c r="E201" s="53" t="str">
        <f t="shared" si="6"/>
        <v>no</v>
      </c>
    </row>
    <row r="202" spans="1:5" x14ac:dyDescent="0.35">
      <c r="A202" s="71"/>
      <c r="B202" s="71"/>
      <c r="C202" s="71"/>
      <c r="D202" s="53" t="str">
        <f t="shared" si="7"/>
        <v>-</v>
      </c>
      <c r="E202" s="53" t="str">
        <f t="shared" si="6"/>
        <v>no</v>
      </c>
    </row>
    <row r="203" spans="1:5" x14ac:dyDescent="0.35">
      <c r="A203" s="71"/>
      <c r="B203" s="71"/>
      <c r="C203" s="71"/>
      <c r="D203" s="53" t="str">
        <f t="shared" si="7"/>
        <v>-</v>
      </c>
      <c r="E203" s="53" t="str">
        <f t="shared" si="6"/>
        <v>no</v>
      </c>
    </row>
    <row r="204" spans="1:5" x14ac:dyDescent="0.35">
      <c r="A204" s="71"/>
      <c r="B204" s="71"/>
      <c r="C204" s="71"/>
      <c r="D204" s="53" t="str">
        <f t="shared" si="7"/>
        <v>-</v>
      </c>
      <c r="E204" s="53" t="str">
        <f t="shared" si="6"/>
        <v>no</v>
      </c>
    </row>
    <row r="205" spans="1:5" x14ac:dyDescent="0.35">
      <c r="A205" s="71"/>
      <c r="B205" s="71"/>
      <c r="C205" s="71"/>
      <c r="D205" s="53" t="str">
        <f t="shared" si="7"/>
        <v>-</v>
      </c>
      <c r="E205" s="53" t="str">
        <f t="shared" si="6"/>
        <v>no</v>
      </c>
    </row>
    <row r="206" spans="1:5" x14ac:dyDescent="0.35">
      <c r="A206" s="71"/>
      <c r="B206" s="71"/>
      <c r="C206" s="71"/>
      <c r="D206" s="53" t="str">
        <f t="shared" si="7"/>
        <v>-</v>
      </c>
      <c r="E206" s="53" t="str">
        <f t="shared" si="6"/>
        <v>no</v>
      </c>
    </row>
    <row r="207" spans="1:5" x14ac:dyDescent="0.35">
      <c r="A207" s="71"/>
      <c r="B207" s="71"/>
      <c r="C207" s="71"/>
      <c r="D207" s="53" t="str">
        <f t="shared" si="7"/>
        <v>-</v>
      </c>
      <c r="E207" s="53" t="str">
        <f t="shared" si="6"/>
        <v>no</v>
      </c>
    </row>
  </sheetData>
  <mergeCells count="12">
    <mergeCell ref="B1:E1"/>
    <mergeCell ref="B2:E2"/>
    <mergeCell ref="B3:E3"/>
    <mergeCell ref="B13:F13"/>
    <mergeCell ref="B8:F8"/>
    <mergeCell ref="B11:F11"/>
    <mergeCell ref="B22:F22"/>
    <mergeCell ref="B23:F23"/>
    <mergeCell ref="I15:K15"/>
    <mergeCell ref="B9:F9"/>
    <mergeCell ref="F15:G15"/>
    <mergeCell ref="I16:K16"/>
  </mergeCells>
  <phoneticPr fontId="3" type="noConversion"/>
  <conditionalFormatting sqref="E28:E207">
    <cfRule type="cellIs" dxfId="0" priority="1" operator="equal">
      <formula>"yes"</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C7ED-4076-49C7-A5BE-146DA99C3CE7}">
  <dimension ref="A1:C9"/>
  <sheetViews>
    <sheetView tabSelected="1" workbookViewId="0">
      <selection activeCell="C25" sqref="C25"/>
    </sheetView>
  </sheetViews>
  <sheetFormatPr defaultColWidth="8.83203125" defaultRowHeight="16" x14ac:dyDescent="0.4"/>
  <cols>
    <col min="1" max="3" width="18.6640625" customWidth="1"/>
  </cols>
  <sheetData>
    <row r="1" spans="1:3" x14ac:dyDescent="0.4">
      <c r="A1" t="s">
        <v>71</v>
      </c>
      <c r="B1" t="s">
        <v>72</v>
      </c>
      <c r="C1" t="s">
        <v>73</v>
      </c>
    </row>
    <row r="2" spans="1:3" x14ac:dyDescent="0.4">
      <c r="A2" t="s">
        <v>76</v>
      </c>
      <c r="B2">
        <v>0</v>
      </c>
      <c r="C2" t="s">
        <v>76</v>
      </c>
    </row>
    <row r="3" spans="1:3" x14ac:dyDescent="0.4">
      <c r="A3">
        <v>1</v>
      </c>
      <c r="B3">
        <v>97638</v>
      </c>
      <c r="C3" t="s">
        <v>94</v>
      </c>
    </row>
    <row r="4" spans="1:3" x14ac:dyDescent="0.4">
      <c r="A4">
        <v>2</v>
      </c>
      <c r="B4">
        <v>195276</v>
      </c>
      <c r="C4" t="s">
        <v>96</v>
      </c>
    </row>
    <row r="5" spans="1:3" x14ac:dyDescent="0.4">
      <c r="A5">
        <v>3</v>
      </c>
      <c r="B5">
        <v>292914</v>
      </c>
      <c r="C5" t="s">
        <v>99</v>
      </c>
    </row>
    <row r="6" spans="1:3" x14ac:dyDescent="0.4">
      <c r="A6">
        <v>4</v>
      </c>
      <c r="B6">
        <v>390552</v>
      </c>
      <c r="C6" t="s">
        <v>101</v>
      </c>
    </row>
    <row r="7" spans="1:3" x14ac:dyDescent="0.4">
      <c r="A7">
        <v>5</v>
      </c>
      <c r="B7">
        <v>488190</v>
      </c>
      <c r="C7" t="s">
        <v>102</v>
      </c>
    </row>
    <row r="8" spans="1:3" x14ac:dyDescent="0.4">
      <c r="A8">
        <v>6</v>
      </c>
      <c r="B8">
        <v>585828</v>
      </c>
      <c r="C8" t="s">
        <v>106</v>
      </c>
    </row>
    <row r="9" spans="1:3" x14ac:dyDescent="0.4">
      <c r="A9">
        <v>7</v>
      </c>
      <c r="B9">
        <v>683466</v>
      </c>
      <c r="C9" t="s">
        <v>107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011fb24-49a0-463f-ada9-a8217d0aa252" xsi:nil="true"/>
    <lcf76f155ced4ddcb4097134ff3c332f xmlns="a72d8ac4-480f-42af-94c3-1b0dbed1eec5">
      <Terms xmlns="http://schemas.microsoft.com/office/infopath/2007/PartnerControls"/>
    </lcf76f155ced4ddcb4097134ff3c332f>
    <ORDER0 xmlns="a72d8ac4-480f-42af-94c3-1b0dbed1eec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CA194C411A66A43AF5A340052B5B424" ma:contentTypeVersion="17" ma:contentTypeDescription="Create a new document." ma:contentTypeScope="" ma:versionID="f902c0012b514c5cf77e94f63d10ba95">
  <xsd:schema xmlns:xsd="http://www.w3.org/2001/XMLSchema" xmlns:xs="http://www.w3.org/2001/XMLSchema" xmlns:p="http://schemas.microsoft.com/office/2006/metadata/properties" xmlns:ns2="1011fb24-49a0-463f-ada9-a8217d0aa252" xmlns:ns3="a72d8ac4-480f-42af-94c3-1b0dbed1eec5" targetNamespace="http://schemas.microsoft.com/office/2006/metadata/properties" ma:root="true" ma:fieldsID="699af3f3b7f46e0b6acccc7cbded096d" ns2:_="" ns3:_="">
    <xsd:import namespace="1011fb24-49a0-463f-ada9-a8217d0aa252"/>
    <xsd:import namespace="a72d8ac4-480f-42af-94c3-1b0dbed1eec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MediaServiceObjectDetectorVersions" minOccurs="0"/>
                <xsd:element ref="ns3:MediaServiceLocation" minOccurs="0"/>
                <xsd:element ref="ns3:MediaServiceSearchProperties" minOccurs="0"/>
                <xsd:element ref="ns3:ORDER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11fb24-49a0-463f-ada9-a8217d0aa2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717fdcf-dbb3-4213-9143-858f321dbc07}" ma:internalName="TaxCatchAll" ma:showField="CatchAllData" ma:web="1011fb24-49a0-463f-ada9-a8217d0aa25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72d8ac4-480f-42af-94c3-1b0dbed1eec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be66e25-6253-4f8b-9755-5684a1ad782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6B8B70-EA3C-4309-946A-6DCEC11B9AB0}">
  <ds:schemaRefs>
    <ds:schemaRef ds:uri="http://purl.org/dc/terms/"/>
    <ds:schemaRef ds:uri="http://schemas.microsoft.com/office/infopath/2007/PartnerControls"/>
    <ds:schemaRef ds:uri="http://schemas.microsoft.com/office/2006/metadata/properties"/>
    <ds:schemaRef ds:uri="http://purl.org/dc/elements/1.1/"/>
    <ds:schemaRef ds:uri="http://schemas.openxmlformats.org/package/2006/metadata/core-properties"/>
    <ds:schemaRef ds:uri="http://www.w3.org/XML/1998/namespace"/>
    <ds:schemaRef ds:uri="http://schemas.microsoft.com/office/2006/documentManagement/types"/>
    <ds:schemaRef ds:uri="a72d8ac4-480f-42af-94c3-1b0dbed1eec5"/>
    <ds:schemaRef ds:uri="1011fb24-49a0-463f-ada9-a8217d0aa252"/>
    <ds:schemaRef ds:uri="http://purl.org/dc/dcmitype/"/>
  </ds:schemaRefs>
</ds:datastoreItem>
</file>

<file path=customXml/itemProps2.xml><?xml version="1.0" encoding="utf-8"?>
<ds:datastoreItem xmlns:ds="http://schemas.openxmlformats.org/officeDocument/2006/customXml" ds:itemID="{02E3B018-9D9D-45EC-A8CC-03D6F3AC8FCF}">
  <ds:schemaRefs>
    <ds:schemaRef ds:uri="http://schemas.microsoft.com/sharepoint/v3/contenttype/forms"/>
  </ds:schemaRefs>
</ds:datastoreItem>
</file>

<file path=customXml/itemProps3.xml><?xml version="1.0" encoding="utf-8"?>
<ds:datastoreItem xmlns:ds="http://schemas.openxmlformats.org/officeDocument/2006/customXml" ds:itemID="{E76A3027-DF5D-4D28-A36F-DB4E13A72E8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1. INPUTS</vt:lpstr>
      <vt:lpstr>2. CALC</vt:lpstr>
      <vt:lpstr>3. PPS</vt:lpstr>
      <vt:lpstr>example Urban North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Bouanchaud</dc:creator>
  <cp:keywords/>
  <dc:description/>
  <cp:lastModifiedBy>Erica Wang</cp:lastModifiedBy>
  <cp:revision/>
  <dcterms:created xsi:type="dcterms:W3CDTF">2025-03-04T11:50:20Z</dcterms:created>
  <dcterms:modified xsi:type="dcterms:W3CDTF">2026-01-15T17:35:26Z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0x0101001CA194C411A66A43AF5A340052B5B424</vt:lpwstr>
  </property>
  <property fmtid="{D5CDD505-2E9C-101B-9397-08002B2CF9AE}" pid="3" name="MediaServiceImageTags">
    <vt:lpwstr/>
  </property>
</Properties>
</file>